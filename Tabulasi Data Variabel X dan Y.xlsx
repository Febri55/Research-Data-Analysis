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ripsi\"/>
    </mc:Choice>
  </mc:AlternateContent>
  <xr:revisionPtr revIDLastSave="0" documentId="13_ncr:1_{9D5DB2A8-E2B0-448F-B980-79342998F3D2}" xr6:coauthVersionLast="43" xr6:coauthVersionMax="43" xr10:uidLastSave="{00000000-0000-0000-0000-000000000000}"/>
  <bookViews>
    <workbookView xWindow="-120" yWindow="-120" windowWidth="20730" windowHeight="11040" xr2:uid="{3376A12B-A0DE-4DE5-806E-08C548CCBF87}"/>
  </bookViews>
  <sheets>
    <sheet name="Y (Harga Saham)" sheetId="1" r:id="rId1"/>
    <sheet name="X1 (ROA)" sheetId="3" r:id="rId2"/>
    <sheet name="X2 (ROE)" sheetId="4" r:id="rId3"/>
    <sheet name="X3 (DER)" sheetId="5" r:id="rId4"/>
    <sheet name="X4 (EPS)" sheetId="2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2" l="1"/>
  <c r="E23" i="2"/>
  <c r="E22" i="2"/>
  <c r="E21" i="2"/>
  <c r="E14" i="2"/>
  <c r="E12" i="2" l="1"/>
  <c r="E16" i="2"/>
  <c r="F5" i="2"/>
  <c r="E39" i="2" l="1"/>
  <c r="F92" i="2" l="1"/>
  <c r="F6" i="3" l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5" i="3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5" i="4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5" i="5"/>
  <c r="F10" i="2"/>
  <c r="F15" i="2"/>
  <c r="F16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E94" i="2" l="1"/>
  <c r="E66" i="2"/>
  <c r="E67" i="2" s="1"/>
  <c r="E68" i="2" s="1"/>
  <c r="E69" i="2" s="1"/>
  <c r="E61" i="2"/>
  <c r="E62" i="2" s="1"/>
  <c r="E63" i="2" s="1"/>
  <c r="E64" i="2" s="1"/>
  <c r="E56" i="2" l="1"/>
  <c r="E57" i="2" s="1"/>
  <c r="E58" i="2" s="1"/>
  <c r="E59" i="2" s="1"/>
  <c r="E51" i="2"/>
  <c r="E52" i="2" s="1"/>
  <c r="E53" i="2" s="1"/>
  <c r="E54" i="2" s="1"/>
  <c r="E46" i="2"/>
  <c r="E47" i="2" s="1"/>
  <c r="E48" i="2" s="1"/>
  <c r="E49" i="2" s="1"/>
  <c r="E36" i="2" l="1"/>
  <c r="E37" i="2" s="1"/>
  <c r="E38" i="2" s="1"/>
  <c r="E32" i="2"/>
  <c r="E33" i="2" s="1"/>
  <c r="E34" i="2" s="1"/>
  <c r="E26" i="2"/>
  <c r="E27" i="2" s="1"/>
  <c r="E28" i="2" s="1"/>
  <c r="E29" i="2" s="1"/>
  <c r="E24" i="2"/>
  <c r="E17" i="2"/>
  <c r="E6" i="2"/>
  <c r="F6" i="2" s="1"/>
  <c r="E18" i="2" l="1"/>
  <c r="F17" i="2"/>
  <c r="E7" i="2"/>
  <c r="E8" i="2" s="1"/>
  <c r="E11" i="2"/>
  <c r="D168" i="5"/>
  <c r="D167" i="5"/>
  <c r="D166" i="5"/>
  <c r="D165" i="5"/>
  <c r="E19" i="2" l="1"/>
  <c r="F19" i="2" s="1"/>
  <c r="F18" i="2"/>
  <c r="F8" i="2"/>
  <c r="F7" i="2"/>
  <c r="F11" i="2"/>
  <c r="H48" i="1"/>
  <c r="G48" i="1"/>
  <c r="F48" i="1"/>
  <c r="E48" i="1"/>
  <c r="D48" i="1"/>
  <c r="H47" i="1"/>
  <c r="G47" i="1"/>
  <c r="F47" i="1"/>
  <c r="E47" i="1"/>
  <c r="D47" i="1"/>
  <c r="E9" i="2" l="1"/>
  <c r="F9" i="2" s="1"/>
  <c r="F12" i="2"/>
  <c r="E13" i="2"/>
  <c r="F14" i="2" l="1"/>
  <c r="F13" i="2"/>
</calcChain>
</file>

<file path=xl/sharedStrings.xml><?xml version="1.0" encoding="utf-8"?>
<sst xmlns="http://schemas.openxmlformats.org/spreadsheetml/2006/main" count="382" uniqueCount="202">
  <si>
    <t>TABULASI Y (HARGA SAHAM)</t>
  </si>
  <si>
    <t>No</t>
  </si>
  <si>
    <t>Kode</t>
  </si>
  <si>
    <t>Nama Perusahaan</t>
  </si>
  <si>
    <t>Sampel</t>
  </si>
  <si>
    <t>Tanggal pencatatan</t>
  </si>
  <si>
    <t>AALI</t>
  </si>
  <si>
    <t>Astra Agro Lestari Tbk.</t>
  </si>
  <si>
    <t>V</t>
  </si>
  <si>
    <t>09 Des 1997</t>
  </si>
  <si>
    <t>ADES</t>
  </si>
  <si>
    <t>Akasha Wira International Tbk.</t>
  </si>
  <si>
    <t>13 Jun 1994</t>
  </si>
  <si>
    <t>AMRT</t>
  </si>
  <si>
    <t>Sumber Alfaria Trijaya Tbk.</t>
  </si>
  <si>
    <t>15 Jan 2009</t>
  </si>
  <si>
    <t>BISI</t>
  </si>
  <si>
    <t>BISI International Tbk.</t>
  </si>
  <si>
    <t>28 Mei 2007</t>
  </si>
  <si>
    <t>BUDI</t>
  </si>
  <si>
    <t>Budi Starch &amp; Sweetener Tbk.</t>
  </si>
  <si>
    <t>08 Mei 1995</t>
  </si>
  <si>
    <t>CEKA</t>
  </si>
  <si>
    <t>Wilmar Cahaya Indonesia Tbk.</t>
  </si>
  <si>
    <t>09 Jul 1996</t>
  </si>
  <si>
    <t>CPIN</t>
  </si>
  <si>
    <t>Charoen Pokphand Indonesia Tbk</t>
  </si>
  <si>
    <t>18 Mar 1991</t>
  </si>
  <si>
    <t>CPRO</t>
  </si>
  <si>
    <t>Central Proteina Prima Tbk.</t>
  </si>
  <si>
    <t>28 Nov 2006</t>
  </si>
  <si>
    <t>DLTA</t>
  </si>
  <si>
    <t>Delta Djakarta Tbk.</t>
  </si>
  <si>
    <t>27 Feb 1984</t>
  </si>
  <si>
    <t>DSNG</t>
  </si>
  <si>
    <t>Dharma Satya Nusantara Tbk.</t>
  </si>
  <si>
    <t>14 Jun 2013</t>
  </si>
  <si>
    <t>EPMT</t>
  </si>
  <si>
    <t>Enseval Putera Megatrading Tbk</t>
  </si>
  <si>
    <t>01 Agt 1994</t>
  </si>
  <si>
    <t>GGRM</t>
  </si>
  <si>
    <t>Gudang Garam Tbk.</t>
  </si>
  <si>
    <t>27 Agt 1990</t>
  </si>
  <si>
    <t>HMSP</t>
  </si>
  <si>
    <t>H.M. Sampoerna Tbk.</t>
  </si>
  <si>
    <t>15 Agt 1990</t>
  </si>
  <si>
    <t>ICBP</t>
  </si>
  <si>
    <t>Indofood CBP Sukses Makmur Tbk</t>
  </si>
  <si>
    <t>07 Okt 2010</t>
  </si>
  <si>
    <t>INDF</t>
  </si>
  <si>
    <t>Indofood Sukses Makmur Tbk.</t>
  </si>
  <si>
    <t>14 Jul 1994</t>
  </si>
  <si>
    <t>JPFA</t>
  </si>
  <si>
    <t>Japfa Comfeed Indonesia Tbk.</t>
  </si>
  <si>
    <t>23 Okt 1989</t>
  </si>
  <si>
    <t>LSIP</t>
  </si>
  <si>
    <t xml:space="preserve">PP London Sumatra Indonesia Tbk. </t>
  </si>
  <si>
    <t>05 Jul 1996</t>
  </si>
  <si>
    <t>MIDI</t>
  </si>
  <si>
    <t>Midi Utama Indonesia Tbk.</t>
  </si>
  <si>
    <t>30 Nov 2010</t>
  </si>
  <si>
    <t>MLBI</t>
  </si>
  <si>
    <t>Multi Bintang Indonesia Tbk.</t>
  </si>
  <si>
    <t>15 Des 1981</t>
  </si>
  <si>
    <t>MYOR</t>
  </si>
  <si>
    <t>Mayora Indah Tbk.</t>
  </si>
  <si>
    <t>04 Jul 1990</t>
  </si>
  <si>
    <t>ROTI</t>
  </si>
  <si>
    <t>Nippon Indosari Corpindo Tbk.</t>
  </si>
  <si>
    <t>28 Jun 2010</t>
  </si>
  <si>
    <t>SDPC</t>
  </si>
  <si>
    <t xml:space="preserve">Millennium Pharmacon International Tbk. </t>
  </si>
  <si>
    <t>07 Mei 1990</t>
  </si>
  <si>
    <t>SKLT</t>
  </si>
  <si>
    <t>Sekar Laut Tbk.</t>
  </si>
  <si>
    <t>08 Sep 1993</t>
  </si>
  <si>
    <t>SMAR</t>
  </si>
  <si>
    <t>Smart Tbk.</t>
  </si>
  <si>
    <t>20 Nov 1992</t>
  </si>
  <si>
    <t>SSMS</t>
  </si>
  <si>
    <t>Sawit Sumbermas Sarana Tbk.</t>
  </si>
  <si>
    <t>12 Des 2013</t>
  </si>
  <si>
    <t>STTP</t>
  </si>
  <si>
    <t>Siantar Top Tbk.</t>
  </si>
  <si>
    <t>16 Des 1996</t>
  </si>
  <si>
    <t>TBLA</t>
  </si>
  <si>
    <t>Tunas Baru Lampung Tbk.</t>
  </si>
  <si>
    <t>14 Feb 2000</t>
  </si>
  <si>
    <t>TGKA</t>
  </si>
  <si>
    <t>Tigaraksa Satria Tbk.</t>
  </si>
  <si>
    <t>11 Jun 1990</t>
  </si>
  <si>
    <t>ULTJ</t>
  </si>
  <si>
    <t>Ultrajaya Milk Industry &amp; Trading Company Tbk.</t>
  </si>
  <si>
    <t>02 Jul 1990</t>
  </si>
  <si>
    <t>UNVR</t>
  </si>
  <si>
    <t>Unilever Indonesia Tbk.</t>
  </si>
  <si>
    <t>11 Jan 1982</t>
  </si>
  <si>
    <t>WIIM</t>
  </si>
  <si>
    <t>Wismilak Inti Makmur Tbk.</t>
  </si>
  <si>
    <t>18 Des 2012</t>
  </si>
  <si>
    <t>CLEO</t>
  </si>
  <si>
    <t>Sariguna Primatirta Tbk.</t>
  </si>
  <si>
    <t>05 Mei 2017</t>
  </si>
  <si>
    <t>CAMP</t>
  </si>
  <si>
    <t>Campina Ice Cream Industry Tbk.</t>
  </si>
  <si>
    <t>19 Des 2017</t>
  </si>
  <si>
    <t>GOOD</t>
  </si>
  <si>
    <t xml:space="preserve">Garudafood Putra Putri Jaya Tbk. </t>
  </si>
  <si>
    <t>10 Okt 2018</t>
  </si>
  <si>
    <t>ITIC</t>
  </si>
  <si>
    <t>Indonesian Tobacco Tbk.</t>
  </si>
  <si>
    <t>04 Jul 2019</t>
  </si>
  <si>
    <t>KEJU</t>
  </si>
  <si>
    <t>Mulia Boga Raya Tbk.</t>
  </si>
  <si>
    <t>25 Nov 2019</t>
  </si>
  <si>
    <t>UCID</t>
  </si>
  <si>
    <t>Uni-Charm Indonesia Tbk.</t>
  </si>
  <si>
    <t>20 Des 2019</t>
  </si>
  <si>
    <t>CSRA</t>
  </si>
  <si>
    <t>Cisadane Sawit Raya Tbk.</t>
  </si>
  <si>
    <t>09 Jan 2020</t>
  </si>
  <si>
    <t>DMND</t>
  </si>
  <si>
    <t>Diamond Food Indonesia Tbk.</t>
  </si>
  <si>
    <t>22 Jan 2020</t>
  </si>
  <si>
    <t>PNGO</t>
  </si>
  <si>
    <t>Pinago Utama Tbk.</t>
  </si>
  <si>
    <t>31 Agt 2020</t>
  </si>
  <si>
    <t>KMDS</t>
  </si>
  <si>
    <t>Kurniamitra Duta Sentosa Tbk.</t>
  </si>
  <si>
    <t>07 Sep 2020</t>
  </si>
  <si>
    <t>VICI</t>
  </si>
  <si>
    <t>Victoria Care Indonesia Tbk.</t>
  </si>
  <si>
    <t>17 Des 2020</t>
  </si>
  <si>
    <t>Jumlah</t>
  </si>
  <si>
    <t>Rata-rata</t>
  </si>
  <si>
    <t>Total rata-rata setiap tahun = 3.604 + 3.105 + 3.016 + 2.950 + 2.775 = 15.450</t>
  </si>
  <si>
    <t>Perhitungan persentase setiap tahun = (Rata-rata tahun X : 15.450) x 100%</t>
  </si>
  <si>
    <t xml:space="preserve">Tahun 2020 = (3.604 : 15.450)*100% </t>
  </si>
  <si>
    <t>23.33%</t>
  </si>
  <si>
    <t xml:space="preserve">Tahun 2021 = (3.105 : 15.450)*100% </t>
  </si>
  <si>
    <t>20.10%</t>
  </si>
  <si>
    <t xml:space="preserve">Tahun 2022 = (3.016 : 15.450)*100% </t>
  </si>
  <si>
    <t>19.52%</t>
  </si>
  <si>
    <t xml:space="preserve">Tahun 2023 = (2.950 : 15.450)*100% </t>
  </si>
  <si>
    <t>19.09%</t>
  </si>
  <si>
    <t>TAHUN</t>
  </si>
  <si>
    <t>LABA BERSIH</t>
  </si>
  <si>
    <t>JUMLAH SAHAM BEREDAR</t>
  </si>
  <si>
    <t>EPS</t>
  </si>
  <si>
    <t>Astra Agro Lestari Tbk. (AALI)</t>
  </si>
  <si>
    <t>Akasha Wira International Tbk. (ADES)</t>
  </si>
  <si>
    <t>Sumber Alfaria Trijaya Tbk. (AMRT)</t>
  </si>
  <si>
    <t>TOTAL ASET</t>
  </si>
  <si>
    <t>EPS = LABA BERSIH / JUMLAH SAHAM BEREDAR</t>
  </si>
  <si>
    <t>ROA = LABA BERSIH / TOTAL ASET</t>
  </si>
  <si>
    <t>ROE</t>
  </si>
  <si>
    <t>BISI International Tbk. (BISI)</t>
  </si>
  <si>
    <t>Budi Starch &amp; Sweetener Tbk. (BUDI)</t>
  </si>
  <si>
    <t>Wilmar Cahaya Indonesia Tbk. (CEKA)</t>
  </si>
  <si>
    <t>Charoen Pokphand Indonesia Tbk. (CPIN)</t>
  </si>
  <si>
    <t>Delta Djakarta Tbk. (DLTA)</t>
  </si>
  <si>
    <t>Dharma Satya Nusantara Tbk. (DSNG)</t>
  </si>
  <si>
    <t>Enseval Putera Megatrading Tbk. (EPMT)</t>
  </si>
  <si>
    <t xml:space="preserve">Central Proteina Prima Tbk. (CPRO) </t>
  </si>
  <si>
    <t>Gudang Garam Tbk. (GGRM)</t>
  </si>
  <si>
    <t>H.M. Sampoerna Tbk. (HMSP)</t>
  </si>
  <si>
    <t>Indofood CBP Sukses Makmur Tbk. (ICBP)</t>
  </si>
  <si>
    <t>Indofood Sukses Makmur Tbk. (INDF)</t>
  </si>
  <si>
    <t>Japfa Comfeed Indonesia Tbk. (JPFA)</t>
  </si>
  <si>
    <t>PP London Sumatra Indonesia Tbk.  (LSIP)</t>
  </si>
  <si>
    <t>Midi Utama Indonesia Tbk. (MIDI)</t>
  </si>
  <si>
    <t>Multi Bintang Indonesia Tbk. (MLBI)</t>
  </si>
  <si>
    <t>Mayora Indah Tbk. (MYOR)</t>
  </si>
  <si>
    <t>Nippon Indosari Corpindo Tbk. (ROTI)</t>
  </si>
  <si>
    <t>Millennium Pharmacon International Tbk. (SDPC)</t>
  </si>
  <si>
    <t>Sekar Laut Tbk. (SKLT)</t>
  </si>
  <si>
    <t>Smart Tbk. (SMAR)</t>
  </si>
  <si>
    <t>Sawit Sumbermas Sarana Tbk. (SSMS)</t>
  </si>
  <si>
    <t>Siantar Top Tbk. (STTP)</t>
  </si>
  <si>
    <t>Tunas Baru Lampung Tbk. (TBLA)</t>
  </si>
  <si>
    <t>Tigaraksa Satria Tbk. (TGKA)</t>
  </si>
  <si>
    <t>Ultrajaya Milk Industry &amp; Trading Company Tbk. (ULTJ)</t>
  </si>
  <si>
    <t>Unilever Indonesia Tbk. (UNVR)</t>
  </si>
  <si>
    <t>Wismilak Inti Makmur Tbk. (WIIM)</t>
  </si>
  <si>
    <t>Sariguna Primatirta Tbk. (CLEO)</t>
  </si>
  <si>
    <t>Campina Ice Cream Industry Tbk. (CAMP)</t>
  </si>
  <si>
    <t>Garudafood Putra Putri Jaya Tbk. (GOOD)</t>
  </si>
  <si>
    <t>Mulia Boga Raya Tbk. (KEJU)</t>
  </si>
  <si>
    <t>Uni-Charm Indonesia Tbk. (UCID)</t>
  </si>
  <si>
    <t>Indonesian Tobacco Tbk. (ITIC)</t>
  </si>
  <si>
    <t>Cisadane Sawit Raya Tbk. (CSRA)</t>
  </si>
  <si>
    <t>Diamond Food Indonesia Tbk. (DMND)</t>
  </si>
  <si>
    <t>Pinago Utama Tbk. (PNGO)</t>
  </si>
  <si>
    <t>Kurniamitra Duta Sentosa Tbk. (KMDS)</t>
  </si>
  <si>
    <t>Victoria Care Indonesia Tbk. (VICI)</t>
  </si>
  <si>
    <t>ROE = LABA BERSIH / EKUITAS</t>
  </si>
  <si>
    <t>DER = TOTAL UTANG / TOTAL EKUITAS</t>
  </si>
  <si>
    <t>TOTAL EKUITAS</t>
  </si>
  <si>
    <t>TOTAL UTANG</t>
  </si>
  <si>
    <t>DER</t>
  </si>
  <si>
    <t>PP London Sumatra Indonesia Tbk. (LSIP)</t>
  </si>
  <si>
    <t>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</si>
</sst>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_-* #.##0.00_-;\-* #.##0.00_-;_-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NumberFormat="1"/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/>
    <xf numFmtId="0" fontId="1" fillId="3" borderId="1" xfId="0" applyFont="1" applyFill="1" applyBorder="1" applyAlignment="1">
      <alignment horizontal="center"/>
    </xf>
    <xf numFmtId="0" fontId="1" fillId="3" borderId="1" xfId="0" applyNumberFormat="1" applyFont="1" applyFill="1" applyBorder="1"/>
    <xf numFmtId="0" fontId="1" fillId="3" borderId="1" xfId="0" applyNumberFormat="1" applyFont="1" applyFill="1" applyBorder="1" applyAlignment="1">
      <alignment horizontal="center"/>
    </xf>
    <xf numFmtId="15" fontId="1" fillId="3" borderId="1" xfId="0" quotePrefix="1" applyNumberFormat="1" applyFont="1" applyFill="1" applyBorder="1" applyAlignment="1">
      <alignment horizontal="center"/>
    </xf>
    <xf numFmtId="0" fontId="0" fillId="3" borderId="1" xfId="0" applyNumberFormat="1" applyFill="1" applyBorder="1"/>
    <xf numFmtId="0" fontId="0" fillId="3" borderId="1" xfId="0" applyNumberForma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0" fillId="3" borderId="0" xfId="0" applyNumberFormat="1" applyFill="1" applyBorder="1"/>
    <xf numFmtId="3" fontId="0" fillId="0" borderId="0" xfId="0" applyNumberFormat="1"/>
    <xf numFmtId="0" fontId="0" fillId="0" borderId="0" xfId="0" applyBorder="1"/>
    <xf numFmtId="10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1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0" fillId="0" borderId="0" xfId="0" applyNumberFormat="1"/>
    <xf numFmtId="0" fontId="2" fillId="0" borderId="10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164" fontId="1" fillId="0" borderId="1" xfId="0" applyNumberFormat="1" applyFont="1" applyFill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0" xfId="0" applyFont="1"/>
    <xf numFmtId="164" fontId="2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3" fontId="1" fillId="3" borderId="1" xfId="0" applyNumberFormat="1" applyFont="1" applyFill="1" applyBorder="1" applyAlignment="1">
      <alignment horizontal="right" vertical="center"/>
    </xf>
    <xf numFmtId="0" fontId="0" fillId="2" borderId="0" xfId="0" applyNumberFormat="1" applyFill="1" applyAlignment="1">
      <alignment horizontal="center"/>
    </xf>
    <xf numFmtId="0" fontId="1" fillId="3" borderId="2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5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/>
    <xf numFmtId="0" fontId="4" fillId="0" borderId="1" xfId="0" applyFont="1" applyFill="1" applyBorder="1"/>
    <xf numFmtId="0" fontId="2" fillId="4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9CB0-7D63-48B5-A741-FCA425AAED7D}">
  <dimension ref="A1:J58"/>
  <sheetViews>
    <sheetView tabSelected="1" topLeftCell="A53" workbookViewId="0">
      <selection activeCell="C46" sqref="C46"/>
    </sheetView>
  </sheetViews>
  <sheetFormatPr defaultRowHeight="15" x14ac:dyDescent="0.25"/>
  <cols>
    <col min="3" max="3" width="45.28515625" bestFit="1" customWidth="1"/>
    <col min="10" max="10" width="17.85546875" bestFit="1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53" t="s">
        <v>0</v>
      </c>
      <c r="E2" s="53"/>
      <c r="F2" s="53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x14ac:dyDescent="0.25">
      <c r="A4" s="2" t="s">
        <v>1</v>
      </c>
      <c r="B4" s="2" t="s">
        <v>2</v>
      </c>
      <c r="C4" s="2" t="s">
        <v>3</v>
      </c>
      <c r="D4" s="2">
        <v>2020</v>
      </c>
      <c r="E4" s="2">
        <v>2021</v>
      </c>
      <c r="F4" s="2">
        <v>2022</v>
      </c>
      <c r="G4" s="2">
        <v>2023</v>
      </c>
      <c r="H4" s="2">
        <v>2024</v>
      </c>
      <c r="I4" s="2" t="s">
        <v>4</v>
      </c>
      <c r="J4" s="2" t="s">
        <v>5</v>
      </c>
    </row>
    <row r="5" spans="1:10" ht="15.75" x14ac:dyDescent="0.25">
      <c r="A5" s="2">
        <v>1</v>
      </c>
      <c r="B5" s="3" t="s">
        <v>6</v>
      </c>
      <c r="C5" s="3" t="s">
        <v>7</v>
      </c>
      <c r="D5" s="4">
        <v>12325</v>
      </c>
      <c r="E5" s="4">
        <v>9500</v>
      </c>
      <c r="F5" s="4">
        <v>8025</v>
      </c>
      <c r="G5" s="4">
        <v>7025</v>
      </c>
      <c r="H5" s="4">
        <v>6200</v>
      </c>
      <c r="I5" s="2" t="s">
        <v>8</v>
      </c>
      <c r="J5" s="5" t="s">
        <v>9</v>
      </c>
    </row>
    <row r="6" spans="1:10" ht="15.75" x14ac:dyDescent="0.25">
      <c r="A6" s="2">
        <v>2</v>
      </c>
      <c r="B6" s="3" t="s">
        <v>10</v>
      </c>
      <c r="C6" s="3" t="s">
        <v>11</v>
      </c>
      <c r="D6" s="4">
        <v>1460</v>
      </c>
      <c r="E6" s="4">
        <v>3290</v>
      </c>
      <c r="F6" s="4">
        <v>7175</v>
      </c>
      <c r="G6" s="4">
        <v>9675</v>
      </c>
      <c r="H6" s="4">
        <v>9100</v>
      </c>
      <c r="I6" s="2" t="s">
        <v>8</v>
      </c>
      <c r="J6" s="5" t="s">
        <v>12</v>
      </c>
    </row>
    <row r="7" spans="1:10" ht="15.75" x14ac:dyDescent="0.25">
      <c r="A7" s="2">
        <v>3</v>
      </c>
      <c r="B7" s="3" t="s">
        <v>13</v>
      </c>
      <c r="C7" s="3" t="s">
        <v>14</v>
      </c>
      <c r="D7" s="4">
        <v>800</v>
      </c>
      <c r="E7" s="4">
        <v>1215</v>
      </c>
      <c r="F7" s="4">
        <v>2650</v>
      </c>
      <c r="G7" s="4">
        <v>2930</v>
      </c>
      <c r="H7" s="4">
        <v>2850</v>
      </c>
      <c r="I7" s="2" t="s">
        <v>8</v>
      </c>
      <c r="J7" s="5" t="s">
        <v>15</v>
      </c>
    </row>
    <row r="8" spans="1:10" ht="15.75" x14ac:dyDescent="0.25">
      <c r="A8" s="2">
        <v>4</v>
      </c>
      <c r="B8" s="3" t="s">
        <v>16</v>
      </c>
      <c r="C8" s="3" t="s">
        <v>17</v>
      </c>
      <c r="D8" s="4">
        <v>1030</v>
      </c>
      <c r="E8" s="4">
        <v>995</v>
      </c>
      <c r="F8" s="4">
        <v>1600</v>
      </c>
      <c r="G8" s="4">
        <v>1600</v>
      </c>
      <c r="H8" s="4">
        <v>1200</v>
      </c>
      <c r="I8" s="2" t="s">
        <v>8</v>
      </c>
      <c r="J8" s="5" t="s">
        <v>18</v>
      </c>
    </row>
    <row r="9" spans="1:10" ht="15.75" x14ac:dyDescent="0.25">
      <c r="A9" s="2">
        <v>5</v>
      </c>
      <c r="B9" s="3" t="s">
        <v>19</v>
      </c>
      <c r="C9" s="3" t="s">
        <v>20</v>
      </c>
      <c r="D9" s="4">
        <v>99</v>
      </c>
      <c r="E9" s="4">
        <v>179</v>
      </c>
      <c r="F9" s="4">
        <v>226</v>
      </c>
      <c r="G9" s="4">
        <v>278</v>
      </c>
      <c r="H9" s="4">
        <v>226</v>
      </c>
      <c r="I9" s="2" t="s">
        <v>8</v>
      </c>
      <c r="J9" s="5" t="s">
        <v>21</v>
      </c>
    </row>
    <row r="10" spans="1:10" ht="15.75" x14ac:dyDescent="0.25">
      <c r="A10" s="2">
        <v>6</v>
      </c>
      <c r="B10" s="3" t="s">
        <v>22</v>
      </c>
      <c r="C10" s="3" t="s">
        <v>23</v>
      </c>
      <c r="D10" s="4">
        <v>1785</v>
      </c>
      <c r="E10" s="4">
        <v>1880</v>
      </c>
      <c r="F10" s="4">
        <v>1980</v>
      </c>
      <c r="G10" s="4">
        <v>1845</v>
      </c>
      <c r="H10" s="4">
        <v>2080</v>
      </c>
      <c r="I10" s="2" t="s">
        <v>8</v>
      </c>
      <c r="J10" s="5" t="s">
        <v>24</v>
      </c>
    </row>
    <row r="11" spans="1:10" ht="15.75" x14ac:dyDescent="0.25">
      <c r="A11" s="2">
        <v>7</v>
      </c>
      <c r="B11" s="3" t="s">
        <v>25</v>
      </c>
      <c r="C11" s="3" t="s">
        <v>26</v>
      </c>
      <c r="D11" s="4">
        <v>6525</v>
      </c>
      <c r="E11" s="4">
        <v>5950</v>
      </c>
      <c r="F11" s="4">
        <v>5650</v>
      </c>
      <c r="G11" s="4">
        <v>5025</v>
      </c>
      <c r="H11" s="4">
        <v>4760</v>
      </c>
      <c r="I11" s="2" t="s">
        <v>8</v>
      </c>
      <c r="J11" s="5" t="s">
        <v>27</v>
      </c>
    </row>
    <row r="12" spans="1:10" ht="15.75" x14ac:dyDescent="0.25">
      <c r="A12" s="17">
        <v>8</v>
      </c>
      <c r="B12" s="6" t="s">
        <v>28</v>
      </c>
      <c r="C12" s="6" t="s">
        <v>29</v>
      </c>
      <c r="D12" s="4">
        <v>50</v>
      </c>
      <c r="E12" s="4">
        <v>95</v>
      </c>
      <c r="F12" s="4">
        <v>53</v>
      </c>
      <c r="G12" s="4">
        <v>51</v>
      </c>
      <c r="H12" s="4">
        <v>50</v>
      </c>
      <c r="I12" s="2" t="s">
        <v>8</v>
      </c>
      <c r="J12" s="7" t="s">
        <v>30</v>
      </c>
    </row>
    <row r="13" spans="1:10" ht="15.75" x14ac:dyDescent="0.25">
      <c r="A13" s="2">
        <v>9</v>
      </c>
      <c r="B13" s="3" t="s">
        <v>31</v>
      </c>
      <c r="C13" s="3" t="s">
        <v>32</v>
      </c>
      <c r="D13" s="4">
        <v>4400</v>
      </c>
      <c r="E13" s="4">
        <v>3740</v>
      </c>
      <c r="F13" s="4">
        <v>3830</v>
      </c>
      <c r="G13" s="4">
        <v>3530</v>
      </c>
      <c r="H13" s="4">
        <v>2150</v>
      </c>
      <c r="I13" s="2" t="s">
        <v>8</v>
      </c>
      <c r="J13" s="8" t="s">
        <v>33</v>
      </c>
    </row>
    <row r="14" spans="1:10" ht="15.75" x14ac:dyDescent="0.25">
      <c r="A14" s="2">
        <v>10</v>
      </c>
      <c r="B14" s="3" t="s">
        <v>34</v>
      </c>
      <c r="C14" s="3" t="s">
        <v>35</v>
      </c>
      <c r="D14" s="4">
        <v>610</v>
      </c>
      <c r="E14" s="4">
        <v>555</v>
      </c>
      <c r="F14" s="4">
        <v>496</v>
      </c>
      <c r="G14" s="4">
        <v>555</v>
      </c>
      <c r="H14" s="4">
        <v>950</v>
      </c>
      <c r="I14" s="2" t="s">
        <v>8</v>
      </c>
      <c r="J14" s="5" t="s">
        <v>36</v>
      </c>
    </row>
    <row r="15" spans="1:10" ht="15.75" x14ac:dyDescent="0.25">
      <c r="A15" s="17">
        <v>11</v>
      </c>
      <c r="B15" s="3" t="s">
        <v>37</v>
      </c>
      <c r="C15" s="3" t="s">
        <v>38</v>
      </c>
      <c r="D15" s="4">
        <v>2110</v>
      </c>
      <c r="E15" s="4">
        <v>2700</v>
      </c>
      <c r="F15" s="4">
        <v>2750</v>
      </c>
      <c r="G15" s="4">
        <v>2590</v>
      </c>
      <c r="H15" s="4">
        <v>2430</v>
      </c>
      <c r="I15" s="2" t="s">
        <v>8</v>
      </c>
      <c r="J15" s="5" t="s">
        <v>39</v>
      </c>
    </row>
    <row r="16" spans="1:10" ht="15.75" x14ac:dyDescent="0.25">
      <c r="A16" s="2">
        <v>12</v>
      </c>
      <c r="B16" s="3" t="s">
        <v>40</v>
      </c>
      <c r="C16" s="3" t="s">
        <v>41</v>
      </c>
      <c r="D16" s="4">
        <v>41000</v>
      </c>
      <c r="E16" s="4">
        <v>30600</v>
      </c>
      <c r="F16" s="4">
        <v>18000</v>
      </c>
      <c r="G16" s="4">
        <v>20325</v>
      </c>
      <c r="H16" s="4">
        <v>13275</v>
      </c>
      <c r="I16" s="2" t="s">
        <v>8</v>
      </c>
      <c r="J16" s="5" t="s">
        <v>42</v>
      </c>
    </row>
    <row r="17" spans="1:10" ht="15.75" x14ac:dyDescent="0.25">
      <c r="A17" s="2">
        <v>13</v>
      </c>
      <c r="B17" s="3" t="s">
        <v>43</v>
      </c>
      <c r="C17" s="3" t="s">
        <v>44</v>
      </c>
      <c r="D17" s="4">
        <v>1505</v>
      </c>
      <c r="E17" s="4">
        <v>965</v>
      </c>
      <c r="F17" s="4">
        <v>840</v>
      </c>
      <c r="G17" s="4">
        <v>895</v>
      </c>
      <c r="H17" s="4">
        <v>635</v>
      </c>
      <c r="I17" s="2" t="s">
        <v>8</v>
      </c>
      <c r="J17" s="5" t="s">
        <v>45</v>
      </c>
    </row>
    <row r="18" spans="1:10" ht="15.75" x14ac:dyDescent="0.25">
      <c r="A18" s="2">
        <v>14</v>
      </c>
      <c r="B18" s="3" t="s">
        <v>46</v>
      </c>
      <c r="C18" s="3" t="s">
        <v>47</v>
      </c>
      <c r="D18" s="4">
        <v>9575</v>
      </c>
      <c r="E18" s="4">
        <v>8700</v>
      </c>
      <c r="F18" s="4">
        <v>10000</v>
      </c>
      <c r="G18" s="4">
        <v>10575</v>
      </c>
      <c r="H18" s="4">
        <v>11375</v>
      </c>
      <c r="I18" s="2" t="s">
        <v>8</v>
      </c>
      <c r="J18" s="5" t="s">
        <v>48</v>
      </c>
    </row>
    <row r="19" spans="1:10" ht="15.75" x14ac:dyDescent="0.25">
      <c r="A19" s="2">
        <v>15</v>
      </c>
      <c r="B19" s="3" t="s">
        <v>49</v>
      </c>
      <c r="C19" s="3" t="s">
        <v>50</v>
      </c>
      <c r="D19" s="4">
        <v>6850</v>
      </c>
      <c r="E19" s="4">
        <v>6325</v>
      </c>
      <c r="F19" s="4">
        <v>6725</v>
      </c>
      <c r="G19" s="4">
        <v>6450</v>
      </c>
      <c r="H19" s="4">
        <v>7700</v>
      </c>
      <c r="I19" s="2" t="s">
        <v>8</v>
      </c>
      <c r="J19" s="5" t="s">
        <v>51</v>
      </c>
    </row>
    <row r="20" spans="1:10" ht="15.75" x14ac:dyDescent="0.25">
      <c r="A20" s="2">
        <v>16</v>
      </c>
      <c r="B20" s="3" t="s">
        <v>52</v>
      </c>
      <c r="C20" s="3" t="s">
        <v>53</v>
      </c>
      <c r="D20" s="4">
        <v>1465</v>
      </c>
      <c r="E20" s="4">
        <v>1720</v>
      </c>
      <c r="F20" s="4">
        <v>1295</v>
      </c>
      <c r="G20" s="4">
        <v>1180</v>
      </c>
      <c r="H20" s="4">
        <v>1940</v>
      </c>
      <c r="I20" s="2" t="s">
        <v>8</v>
      </c>
      <c r="J20" s="5" t="s">
        <v>54</v>
      </c>
    </row>
    <row r="21" spans="1:10" ht="15.75" x14ac:dyDescent="0.25">
      <c r="A21" s="2">
        <v>17</v>
      </c>
      <c r="B21" s="3" t="s">
        <v>55</v>
      </c>
      <c r="C21" s="3" t="s">
        <v>56</v>
      </c>
      <c r="D21" s="4">
        <v>1375</v>
      </c>
      <c r="E21" s="4">
        <v>1185</v>
      </c>
      <c r="F21" s="4">
        <v>1015</v>
      </c>
      <c r="G21" s="4">
        <v>890</v>
      </c>
      <c r="H21" s="4">
        <v>975</v>
      </c>
      <c r="I21" s="2" t="s">
        <v>8</v>
      </c>
      <c r="J21" s="5" t="s">
        <v>57</v>
      </c>
    </row>
    <row r="22" spans="1:10" ht="15.75" x14ac:dyDescent="0.25">
      <c r="A22" s="2">
        <v>18</v>
      </c>
      <c r="B22" s="3" t="s">
        <v>58</v>
      </c>
      <c r="C22" s="3" t="s">
        <v>59</v>
      </c>
      <c r="D22" s="4">
        <v>1925</v>
      </c>
      <c r="E22" s="4">
        <v>2210</v>
      </c>
      <c r="F22" s="4">
        <v>2970</v>
      </c>
      <c r="G22" s="4">
        <v>430</v>
      </c>
      <c r="H22" s="4">
        <v>430</v>
      </c>
      <c r="I22" s="2" t="s">
        <v>8</v>
      </c>
      <c r="J22" s="5" t="s">
        <v>60</v>
      </c>
    </row>
    <row r="23" spans="1:10" ht="15.75" x14ac:dyDescent="0.25">
      <c r="A23" s="2">
        <v>19</v>
      </c>
      <c r="B23" s="3" t="s">
        <v>61</v>
      </c>
      <c r="C23" s="3" t="s">
        <v>62</v>
      </c>
      <c r="D23" s="4">
        <v>9700</v>
      </c>
      <c r="E23" s="4">
        <v>7800</v>
      </c>
      <c r="F23" s="4">
        <v>8950</v>
      </c>
      <c r="G23" s="4">
        <v>7750</v>
      </c>
      <c r="H23" s="4">
        <v>6100</v>
      </c>
      <c r="I23" s="2" t="s">
        <v>8</v>
      </c>
      <c r="J23" s="5" t="s">
        <v>63</v>
      </c>
    </row>
    <row r="24" spans="1:10" ht="15.75" x14ac:dyDescent="0.25">
      <c r="A24" s="2">
        <v>20</v>
      </c>
      <c r="B24" s="3" t="s">
        <v>64</v>
      </c>
      <c r="C24" s="3" t="s">
        <v>65</v>
      </c>
      <c r="D24" s="4">
        <v>2710</v>
      </c>
      <c r="E24" s="4">
        <v>2040</v>
      </c>
      <c r="F24" s="4">
        <v>2500</v>
      </c>
      <c r="G24" s="4">
        <v>2490</v>
      </c>
      <c r="H24" s="4">
        <v>2780</v>
      </c>
      <c r="I24" s="2" t="s">
        <v>8</v>
      </c>
      <c r="J24" s="5" t="s">
        <v>66</v>
      </c>
    </row>
    <row r="25" spans="1:10" ht="15.75" x14ac:dyDescent="0.25">
      <c r="A25" s="10">
        <v>21</v>
      </c>
      <c r="B25" s="3" t="s">
        <v>67</v>
      </c>
      <c r="C25" s="3" t="s">
        <v>68</v>
      </c>
      <c r="D25" s="4">
        <v>1360</v>
      </c>
      <c r="E25" s="4">
        <v>1360</v>
      </c>
      <c r="F25" s="4">
        <v>1320</v>
      </c>
      <c r="G25" s="4">
        <v>1150</v>
      </c>
      <c r="H25" s="4">
        <v>970</v>
      </c>
      <c r="I25" s="2" t="s">
        <v>8</v>
      </c>
      <c r="J25" s="5" t="s">
        <v>69</v>
      </c>
    </row>
    <row r="26" spans="1:10" ht="15.75" x14ac:dyDescent="0.25">
      <c r="A26" s="10">
        <v>22</v>
      </c>
      <c r="B26" s="3" t="s">
        <v>70</v>
      </c>
      <c r="C26" s="3" t="s">
        <v>71</v>
      </c>
      <c r="D26" s="4">
        <v>104</v>
      </c>
      <c r="E26" s="4">
        <v>136</v>
      </c>
      <c r="F26" s="4">
        <v>332</v>
      </c>
      <c r="G26" s="4">
        <v>158</v>
      </c>
      <c r="H26" s="4">
        <v>132</v>
      </c>
      <c r="I26" s="2" t="s">
        <v>8</v>
      </c>
      <c r="J26" s="5" t="s">
        <v>72</v>
      </c>
    </row>
    <row r="27" spans="1:10" ht="15.75" x14ac:dyDescent="0.25">
      <c r="A27" s="10">
        <v>23</v>
      </c>
      <c r="B27" s="3" t="s">
        <v>73</v>
      </c>
      <c r="C27" s="3" t="s">
        <v>74</v>
      </c>
      <c r="D27" s="4">
        <v>1565</v>
      </c>
      <c r="E27" s="4">
        <v>2420</v>
      </c>
      <c r="F27" s="4">
        <v>1565</v>
      </c>
      <c r="G27" s="4">
        <v>282</v>
      </c>
      <c r="H27" s="4">
        <v>199</v>
      </c>
      <c r="I27" s="2" t="s">
        <v>8</v>
      </c>
      <c r="J27" s="5" t="s">
        <v>75</v>
      </c>
    </row>
    <row r="28" spans="1:10" ht="15.75" x14ac:dyDescent="0.25">
      <c r="A28" s="10">
        <v>24</v>
      </c>
      <c r="B28" s="3" t="s">
        <v>76</v>
      </c>
      <c r="C28" s="3" t="s">
        <v>77</v>
      </c>
      <c r="D28" s="4">
        <v>4150</v>
      </c>
      <c r="E28" s="4">
        <v>4360</v>
      </c>
      <c r="F28" s="4">
        <v>4950</v>
      </c>
      <c r="G28" s="4">
        <v>4000</v>
      </c>
      <c r="H28" s="4">
        <v>3650</v>
      </c>
      <c r="I28" s="2" t="s">
        <v>8</v>
      </c>
      <c r="J28" s="5" t="s">
        <v>78</v>
      </c>
    </row>
    <row r="29" spans="1:10" ht="15.75" x14ac:dyDescent="0.25">
      <c r="A29" s="10">
        <v>25</v>
      </c>
      <c r="B29" s="3" t="s">
        <v>79</v>
      </c>
      <c r="C29" s="3" t="s">
        <v>80</v>
      </c>
      <c r="D29" s="4">
        <v>1250</v>
      </c>
      <c r="E29" s="4">
        <v>965</v>
      </c>
      <c r="F29" s="4">
        <v>1470</v>
      </c>
      <c r="G29" s="4">
        <v>1045</v>
      </c>
      <c r="H29" s="4">
        <v>1300</v>
      </c>
      <c r="I29" s="2" t="s">
        <v>8</v>
      </c>
      <c r="J29" s="5" t="s">
        <v>81</v>
      </c>
    </row>
    <row r="30" spans="1:10" ht="15.75" x14ac:dyDescent="0.25">
      <c r="A30" s="10">
        <v>26</v>
      </c>
      <c r="B30" s="3" t="s">
        <v>82</v>
      </c>
      <c r="C30" s="3" t="s">
        <v>83</v>
      </c>
      <c r="D30" s="4">
        <v>9500</v>
      </c>
      <c r="E30" s="4">
        <v>7550</v>
      </c>
      <c r="F30" s="4">
        <v>7650</v>
      </c>
      <c r="G30" s="4">
        <v>9375</v>
      </c>
      <c r="H30" s="4">
        <v>13625</v>
      </c>
      <c r="I30" s="2" t="s">
        <v>8</v>
      </c>
      <c r="J30" s="5" t="s">
        <v>84</v>
      </c>
    </row>
    <row r="31" spans="1:10" ht="15.75" x14ac:dyDescent="0.25">
      <c r="A31" s="10">
        <v>27</v>
      </c>
      <c r="B31" s="20" t="s">
        <v>85</v>
      </c>
      <c r="C31" s="3" t="s">
        <v>86</v>
      </c>
      <c r="D31" s="4">
        <v>935</v>
      </c>
      <c r="E31" s="4">
        <v>795</v>
      </c>
      <c r="F31" s="4">
        <v>695</v>
      </c>
      <c r="G31" s="4">
        <v>695</v>
      </c>
      <c r="H31" s="4">
        <v>615</v>
      </c>
      <c r="I31" s="2" t="s">
        <v>8</v>
      </c>
      <c r="J31" s="5" t="s">
        <v>87</v>
      </c>
    </row>
    <row r="32" spans="1:10" ht="15.75" x14ac:dyDescent="0.25">
      <c r="A32" s="10">
        <v>28</v>
      </c>
      <c r="B32" s="3" t="s">
        <v>88</v>
      </c>
      <c r="C32" s="3" t="s">
        <v>89</v>
      </c>
      <c r="D32" s="4">
        <v>7275</v>
      </c>
      <c r="E32" s="4">
        <v>7000</v>
      </c>
      <c r="F32" s="4">
        <v>7100</v>
      </c>
      <c r="G32" s="4">
        <v>6450</v>
      </c>
      <c r="H32" s="4">
        <v>6000</v>
      </c>
      <c r="I32" s="2" t="s">
        <v>8</v>
      </c>
      <c r="J32" s="5" t="s">
        <v>90</v>
      </c>
    </row>
    <row r="33" spans="1:10" ht="15.75" x14ac:dyDescent="0.25">
      <c r="A33" s="10">
        <v>29</v>
      </c>
      <c r="B33" s="3" t="s">
        <v>91</v>
      </c>
      <c r="C33" s="3" t="s">
        <v>92</v>
      </c>
      <c r="D33" s="4">
        <v>1600</v>
      </c>
      <c r="E33" s="4">
        <v>1570</v>
      </c>
      <c r="F33" s="4">
        <v>1475</v>
      </c>
      <c r="G33" s="4">
        <v>1600</v>
      </c>
      <c r="H33" s="4">
        <v>1805</v>
      </c>
      <c r="I33" s="2" t="s">
        <v>8</v>
      </c>
      <c r="J33" s="5" t="s">
        <v>93</v>
      </c>
    </row>
    <row r="34" spans="1:10" ht="15.75" x14ac:dyDescent="0.25">
      <c r="A34" s="10">
        <v>30</v>
      </c>
      <c r="B34" s="3" t="s">
        <v>94</v>
      </c>
      <c r="C34" s="3" t="s">
        <v>95</v>
      </c>
      <c r="D34" s="4">
        <v>7350</v>
      </c>
      <c r="E34" s="4">
        <v>4110</v>
      </c>
      <c r="F34" s="4">
        <v>4700</v>
      </c>
      <c r="G34" s="4">
        <v>3530</v>
      </c>
      <c r="H34" s="4">
        <v>1885</v>
      </c>
      <c r="I34" s="2" t="s">
        <v>8</v>
      </c>
      <c r="J34" s="5" t="s">
        <v>96</v>
      </c>
    </row>
    <row r="35" spans="1:10" ht="15.75" x14ac:dyDescent="0.25">
      <c r="A35" s="10">
        <v>31</v>
      </c>
      <c r="B35" s="3" t="s">
        <v>97</v>
      </c>
      <c r="C35" s="3" t="s">
        <v>98</v>
      </c>
      <c r="D35" s="4">
        <v>540</v>
      </c>
      <c r="E35" s="4">
        <v>428</v>
      </c>
      <c r="F35" s="4">
        <v>630</v>
      </c>
      <c r="G35" s="4">
        <v>1775</v>
      </c>
      <c r="H35" s="4">
        <v>700</v>
      </c>
      <c r="I35" s="2" t="s">
        <v>8</v>
      </c>
      <c r="J35" s="5" t="s">
        <v>99</v>
      </c>
    </row>
    <row r="36" spans="1:10" ht="15.75" x14ac:dyDescent="0.25">
      <c r="A36" s="10">
        <v>32</v>
      </c>
      <c r="B36" s="3" t="s">
        <v>100</v>
      </c>
      <c r="C36" s="3" t="s">
        <v>101</v>
      </c>
      <c r="D36" s="4">
        <v>500</v>
      </c>
      <c r="E36" s="4">
        <v>470</v>
      </c>
      <c r="F36" s="4">
        <v>555</v>
      </c>
      <c r="G36" s="4">
        <v>710</v>
      </c>
      <c r="H36" s="4">
        <v>1575</v>
      </c>
      <c r="I36" s="2" t="s">
        <v>8</v>
      </c>
      <c r="J36" s="5" t="s">
        <v>102</v>
      </c>
    </row>
    <row r="37" spans="1:10" ht="15.75" x14ac:dyDescent="0.25">
      <c r="A37" s="10">
        <v>33</v>
      </c>
      <c r="B37" s="3" t="s">
        <v>103</v>
      </c>
      <c r="C37" s="3" t="s">
        <v>104</v>
      </c>
      <c r="D37" s="4">
        <v>302</v>
      </c>
      <c r="E37" s="4">
        <v>238</v>
      </c>
      <c r="F37" s="4">
        <v>306</v>
      </c>
      <c r="G37" s="4">
        <v>402</v>
      </c>
      <c r="H37" s="4">
        <v>256</v>
      </c>
      <c r="I37" s="2" t="s">
        <v>8</v>
      </c>
      <c r="J37" s="5" t="s">
        <v>105</v>
      </c>
    </row>
    <row r="38" spans="1:10" ht="15.75" x14ac:dyDescent="0.25">
      <c r="A38" s="10">
        <v>34</v>
      </c>
      <c r="B38" s="3" t="s">
        <v>106</v>
      </c>
      <c r="C38" s="3" t="s">
        <v>107</v>
      </c>
      <c r="D38" s="4">
        <v>1270</v>
      </c>
      <c r="E38" s="4">
        <v>525</v>
      </c>
      <c r="F38" s="4">
        <v>525</v>
      </c>
      <c r="G38" s="4">
        <v>430</v>
      </c>
      <c r="H38" s="4">
        <v>412</v>
      </c>
      <c r="I38" s="2" t="s">
        <v>8</v>
      </c>
      <c r="J38" s="5" t="s">
        <v>108</v>
      </c>
    </row>
    <row r="39" spans="1:10" ht="15.75" x14ac:dyDescent="0.25">
      <c r="A39" s="10">
        <v>35</v>
      </c>
      <c r="B39" s="6" t="s">
        <v>109</v>
      </c>
      <c r="C39" s="6" t="s">
        <v>110</v>
      </c>
      <c r="D39" s="4">
        <v>650</v>
      </c>
      <c r="E39" s="4">
        <v>274</v>
      </c>
      <c r="F39" s="4">
        <v>264</v>
      </c>
      <c r="G39" s="4">
        <v>300</v>
      </c>
      <c r="H39" s="4">
        <v>264</v>
      </c>
      <c r="I39" s="2" t="s">
        <v>8</v>
      </c>
      <c r="J39" s="7" t="s">
        <v>111</v>
      </c>
    </row>
    <row r="40" spans="1:10" ht="15.75" x14ac:dyDescent="0.25">
      <c r="A40" s="10">
        <v>36</v>
      </c>
      <c r="B40" s="3" t="s">
        <v>112</v>
      </c>
      <c r="C40" s="3" t="s">
        <v>113</v>
      </c>
      <c r="D40" s="4">
        <v>1355</v>
      </c>
      <c r="E40" s="4">
        <v>1185</v>
      </c>
      <c r="F40" s="4">
        <v>1430</v>
      </c>
      <c r="G40" s="4">
        <v>1155</v>
      </c>
      <c r="H40" s="4">
        <v>810</v>
      </c>
      <c r="I40" s="2" t="s">
        <v>8</v>
      </c>
      <c r="J40" s="5" t="s">
        <v>114</v>
      </c>
    </row>
    <row r="41" spans="1:10" ht="15.75" x14ac:dyDescent="0.25">
      <c r="A41" s="10">
        <v>37</v>
      </c>
      <c r="B41" s="3" t="s">
        <v>115</v>
      </c>
      <c r="C41" s="3" t="s">
        <v>116</v>
      </c>
      <c r="D41" s="4">
        <v>1470</v>
      </c>
      <c r="E41" s="4">
        <v>1450</v>
      </c>
      <c r="F41" s="4">
        <v>1095</v>
      </c>
      <c r="G41" s="4">
        <v>1000</v>
      </c>
      <c r="H41" s="4">
        <v>760</v>
      </c>
      <c r="I41" s="2" t="s">
        <v>8</v>
      </c>
      <c r="J41" s="5" t="s">
        <v>117</v>
      </c>
    </row>
    <row r="42" spans="1:10" ht="15.75" x14ac:dyDescent="0.25">
      <c r="A42" s="10">
        <v>38</v>
      </c>
      <c r="B42" s="6" t="s">
        <v>118</v>
      </c>
      <c r="C42" s="6" t="s">
        <v>119</v>
      </c>
      <c r="D42" s="4">
        <v>376</v>
      </c>
      <c r="E42" s="4">
        <v>500</v>
      </c>
      <c r="F42" s="4">
        <v>570</v>
      </c>
      <c r="G42" s="4">
        <v>472</v>
      </c>
      <c r="H42" s="4">
        <v>725</v>
      </c>
      <c r="I42" s="2" t="s">
        <v>8</v>
      </c>
      <c r="J42" s="7" t="s">
        <v>120</v>
      </c>
    </row>
    <row r="43" spans="1:10" ht="15.75" x14ac:dyDescent="0.25">
      <c r="A43" s="10">
        <v>39</v>
      </c>
      <c r="B43" s="6" t="s">
        <v>121</v>
      </c>
      <c r="C43" s="6" t="s">
        <v>122</v>
      </c>
      <c r="D43" s="4">
        <v>920</v>
      </c>
      <c r="E43" s="4">
        <v>905</v>
      </c>
      <c r="F43" s="4">
        <v>815</v>
      </c>
      <c r="G43" s="4">
        <v>815</v>
      </c>
      <c r="H43" s="4">
        <v>800</v>
      </c>
      <c r="I43" s="2" t="s">
        <v>8</v>
      </c>
      <c r="J43" s="10" t="s">
        <v>123</v>
      </c>
    </row>
    <row r="44" spans="1:10" ht="15.75" x14ac:dyDescent="0.25">
      <c r="A44" s="10">
        <v>40</v>
      </c>
      <c r="B44" s="6" t="s">
        <v>124</v>
      </c>
      <c r="C44" s="6" t="s">
        <v>125</v>
      </c>
      <c r="D44" s="4">
        <v>800</v>
      </c>
      <c r="E44" s="4">
        <v>1555</v>
      </c>
      <c r="F44" s="4">
        <v>1400</v>
      </c>
      <c r="G44" s="4">
        <v>1400</v>
      </c>
      <c r="H44" s="4">
        <v>1610</v>
      </c>
      <c r="I44" s="2" t="s">
        <v>8</v>
      </c>
      <c r="J44" s="7" t="s">
        <v>126</v>
      </c>
    </row>
    <row r="45" spans="1:10" ht="15.75" x14ac:dyDescent="0.25">
      <c r="A45" s="10">
        <v>41</v>
      </c>
      <c r="B45" s="6" t="s">
        <v>127</v>
      </c>
      <c r="C45" s="6" t="s">
        <v>128</v>
      </c>
      <c r="D45" s="4">
        <v>470</v>
      </c>
      <c r="E45" s="4">
        <v>434</v>
      </c>
      <c r="F45" s="4">
        <v>575</v>
      </c>
      <c r="G45" s="4">
        <v>424</v>
      </c>
      <c r="H45" s="4">
        <v>585</v>
      </c>
      <c r="I45" s="2" t="s">
        <v>8</v>
      </c>
      <c r="J45" s="7" t="s">
        <v>129</v>
      </c>
    </row>
    <row r="46" spans="1:10" ht="15.75" x14ac:dyDescent="0.25">
      <c r="A46" s="10">
        <v>42</v>
      </c>
      <c r="B46" s="6" t="s">
        <v>130</v>
      </c>
      <c r="C46" s="6" t="s">
        <v>131</v>
      </c>
      <c r="D46" s="4">
        <v>312</v>
      </c>
      <c r="E46" s="4">
        <v>515</v>
      </c>
      <c r="F46" s="4">
        <v>510</v>
      </c>
      <c r="G46" s="4">
        <v>650</v>
      </c>
      <c r="H46" s="4">
        <v>655</v>
      </c>
      <c r="I46" s="2" t="s">
        <v>8</v>
      </c>
      <c r="J46" s="10" t="s">
        <v>132</v>
      </c>
    </row>
    <row r="47" spans="1:10" ht="15.75" x14ac:dyDescent="0.25">
      <c r="A47" s="9"/>
      <c r="B47" s="11"/>
      <c r="C47" s="6" t="s">
        <v>133</v>
      </c>
      <c r="D47" s="12">
        <f>SUM(D5:D46)</f>
        <v>151353</v>
      </c>
      <c r="E47" s="12">
        <f>SUM(E5:E46)</f>
        <v>130389</v>
      </c>
      <c r="F47" s="12">
        <f>SUM(F5:F46)</f>
        <v>126662</v>
      </c>
      <c r="G47" s="12">
        <f>SUM(G5:G46)</f>
        <v>123907</v>
      </c>
      <c r="H47" s="12">
        <f>SUM(H5:H46)</f>
        <v>116539</v>
      </c>
      <c r="I47" s="11"/>
      <c r="J47" s="11"/>
    </row>
    <row r="48" spans="1:10" ht="15.75" x14ac:dyDescent="0.25">
      <c r="A48" s="9"/>
      <c r="B48" s="11"/>
      <c r="C48" s="6" t="s">
        <v>134</v>
      </c>
      <c r="D48" s="12">
        <f>AVERAGE(D5:D46)</f>
        <v>3603.6428571428573</v>
      </c>
      <c r="E48" s="12">
        <f>AVERAGE(E5:E46)</f>
        <v>3104.5</v>
      </c>
      <c r="F48" s="12">
        <f>AVERAGE(F5:F46)</f>
        <v>3015.7619047619046</v>
      </c>
      <c r="G48" s="12">
        <f>AVERAGE(G5:G46)</f>
        <v>2950.1666666666665</v>
      </c>
      <c r="H48" s="12">
        <f>AVERAGE(H5:H46)</f>
        <v>2774.7380952380954</v>
      </c>
      <c r="I48" s="11"/>
      <c r="J48" s="11"/>
    </row>
    <row r="49" spans="1:5" ht="15.75" thickBot="1" x14ac:dyDescent="0.3">
      <c r="A49" s="13"/>
      <c r="D49" s="14"/>
    </row>
    <row r="50" spans="1:5" x14ac:dyDescent="0.25">
      <c r="A50" s="15"/>
      <c r="C50" s="54" t="s">
        <v>135</v>
      </c>
      <c r="D50" s="55"/>
      <c r="E50" s="56"/>
    </row>
    <row r="51" spans="1:5" x14ac:dyDescent="0.25">
      <c r="C51" s="57"/>
      <c r="D51" s="58"/>
      <c r="E51" s="59"/>
    </row>
    <row r="52" spans="1:5" x14ac:dyDescent="0.25">
      <c r="C52" s="60" t="s">
        <v>136</v>
      </c>
      <c r="D52" s="61"/>
      <c r="E52" s="62"/>
    </row>
    <row r="53" spans="1:5" ht="15.75" thickBot="1" x14ac:dyDescent="0.3">
      <c r="C53" s="63"/>
      <c r="D53" s="64"/>
      <c r="E53" s="65"/>
    </row>
    <row r="55" spans="1:5" x14ac:dyDescent="0.25">
      <c r="C55" t="s">
        <v>137</v>
      </c>
      <c r="D55" t="s">
        <v>138</v>
      </c>
    </row>
    <row r="56" spans="1:5" x14ac:dyDescent="0.25">
      <c r="C56" t="s">
        <v>139</v>
      </c>
      <c r="D56" s="16" t="s">
        <v>140</v>
      </c>
    </row>
    <row r="57" spans="1:5" x14ac:dyDescent="0.25">
      <c r="C57" t="s">
        <v>141</v>
      </c>
      <c r="D57" t="s">
        <v>142</v>
      </c>
    </row>
    <row r="58" spans="1:5" x14ac:dyDescent="0.25">
      <c r="C58" t="s">
        <v>143</v>
      </c>
      <c r="D58" t="s">
        <v>144</v>
      </c>
    </row>
  </sheetData>
  <mergeCells count="3">
    <mergeCell ref="D2:F2"/>
    <mergeCell ref="C50:E51"/>
    <mergeCell ref="C52:E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3F05-5A61-4006-AE7B-700A985E7BAB}">
  <dimension ref="A2:F214"/>
  <sheetViews>
    <sheetView topLeftCell="A238" workbookViewId="0">
      <selection activeCell="C253" sqref="B253:C256"/>
    </sheetView>
  </sheetViews>
  <sheetFormatPr defaultRowHeight="15" x14ac:dyDescent="0.25"/>
  <cols>
    <col min="1" max="1" width="3.85546875" bestFit="1" customWidth="1"/>
    <col min="2" max="2" width="22.5703125" customWidth="1"/>
    <col min="3" max="3" width="9" bestFit="1" customWidth="1"/>
    <col min="4" max="4" width="21" bestFit="1" customWidth="1"/>
    <col min="5" max="5" width="22.28515625" bestFit="1" customWidth="1"/>
    <col min="6" max="6" width="7.28515625" bestFit="1" customWidth="1"/>
  </cols>
  <sheetData>
    <row r="2" spans="1:6" ht="32.25" customHeight="1" x14ac:dyDescent="0.25">
      <c r="B2" s="71" t="s">
        <v>154</v>
      </c>
      <c r="C2" s="71"/>
      <c r="D2" s="71"/>
      <c r="E2" s="19"/>
    </row>
    <row r="4" spans="1:6" ht="15.75" x14ac:dyDescent="0.25">
      <c r="A4" s="21" t="s">
        <v>1</v>
      </c>
      <c r="B4" s="21" t="s">
        <v>2</v>
      </c>
      <c r="C4" s="21" t="s">
        <v>145</v>
      </c>
      <c r="D4" s="22" t="s">
        <v>146</v>
      </c>
      <c r="E4" s="22" t="s">
        <v>152</v>
      </c>
      <c r="F4" s="29" t="s">
        <v>201</v>
      </c>
    </row>
    <row r="5" spans="1:6" ht="15.75" x14ac:dyDescent="0.25">
      <c r="A5" s="66">
        <v>1</v>
      </c>
      <c r="B5" s="68" t="s">
        <v>149</v>
      </c>
      <c r="C5" s="31">
        <v>2020</v>
      </c>
      <c r="D5" s="32">
        <v>893779000000</v>
      </c>
      <c r="E5" s="32">
        <v>27781231000000</v>
      </c>
      <c r="F5" s="33">
        <f>D5/E5</f>
        <v>3.2172044500115925E-2</v>
      </c>
    </row>
    <row r="6" spans="1:6" ht="15.75" x14ac:dyDescent="0.25">
      <c r="A6" s="67"/>
      <c r="B6" s="67"/>
      <c r="C6" s="31">
        <v>2021</v>
      </c>
      <c r="D6" s="32">
        <v>2067362000000</v>
      </c>
      <c r="E6" s="32">
        <v>30399906000000</v>
      </c>
      <c r="F6" s="33">
        <f t="shared" ref="F6:F69" si="0">D6/E6</f>
        <v>6.8005539227654191E-2</v>
      </c>
    </row>
    <row r="7" spans="1:6" ht="15.75" x14ac:dyDescent="0.25">
      <c r="A7" s="67"/>
      <c r="B7" s="67"/>
      <c r="C7" s="31">
        <v>2022</v>
      </c>
      <c r="D7" s="32">
        <v>1792050000000</v>
      </c>
      <c r="E7" s="32">
        <v>29249340000000</v>
      </c>
      <c r="F7" s="33">
        <f t="shared" si="0"/>
        <v>6.1268049125211027E-2</v>
      </c>
    </row>
    <row r="8" spans="1:6" ht="15.75" x14ac:dyDescent="0.25">
      <c r="A8" s="67"/>
      <c r="B8" s="67"/>
      <c r="C8" s="31">
        <v>2023</v>
      </c>
      <c r="D8" s="32">
        <v>1088170000000</v>
      </c>
      <c r="E8" s="32">
        <v>28846243000000</v>
      </c>
      <c r="F8" s="33">
        <f t="shared" si="0"/>
        <v>3.772311007710779E-2</v>
      </c>
    </row>
    <row r="9" spans="1:6" ht="15.75" x14ac:dyDescent="0.25">
      <c r="A9" s="67"/>
      <c r="B9" s="67"/>
      <c r="C9" s="34">
        <v>2024</v>
      </c>
      <c r="D9" s="35">
        <v>1186783000000</v>
      </c>
      <c r="E9" s="32">
        <v>28793225000000</v>
      </c>
      <c r="F9" s="33">
        <f t="shared" si="0"/>
        <v>4.1217439171888526E-2</v>
      </c>
    </row>
    <row r="10" spans="1:6" ht="15.75" x14ac:dyDescent="0.25">
      <c r="A10" s="66">
        <v>2</v>
      </c>
      <c r="B10" s="68" t="s">
        <v>150</v>
      </c>
      <c r="C10" s="31">
        <v>2020</v>
      </c>
      <c r="D10" s="32">
        <v>135789000000</v>
      </c>
      <c r="E10" s="32">
        <v>958791000000</v>
      </c>
      <c r="F10" s="33">
        <f t="shared" si="0"/>
        <v>0.14162523427942064</v>
      </c>
    </row>
    <row r="11" spans="1:6" ht="15.75" x14ac:dyDescent="0.25">
      <c r="A11" s="67"/>
      <c r="B11" s="67"/>
      <c r="C11" s="31">
        <v>2021</v>
      </c>
      <c r="D11" s="32">
        <v>265758000000</v>
      </c>
      <c r="E11" s="32">
        <v>1304108000000</v>
      </c>
      <c r="F11" s="33">
        <f t="shared" si="0"/>
        <v>0.2037852693181853</v>
      </c>
    </row>
    <row r="12" spans="1:6" ht="15.75" x14ac:dyDescent="0.25">
      <c r="A12" s="67"/>
      <c r="B12" s="67"/>
      <c r="C12" s="31">
        <v>2022</v>
      </c>
      <c r="D12" s="32">
        <v>364972000000</v>
      </c>
      <c r="E12" s="32">
        <v>1645582000000</v>
      </c>
      <c r="F12" s="33">
        <f t="shared" si="0"/>
        <v>0.22178900838730614</v>
      </c>
    </row>
    <row r="13" spans="1:6" ht="15.75" x14ac:dyDescent="0.25">
      <c r="A13" s="67"/>
      <c r="B13" s="67"/>
      <c r="C13" s="31">
        <v>2023</v>
      </c>
      <c r="D13" s="32">
        <v>395798000000</v>
      </c>
      <c r="E13" s="32">
        <v>2085182000000</v>
      </c>
      <c r="F13" s="33">
        <f t="shared" si="0"/>
        <v>0.18981460611112125</v>
      </c>
    </row>
    <row r="14" spans="1:6" ht="15.75" x14ac:dyDescent="0.25">
      <c r="A14" s="67"/>
      <c r="B14" s="67"/>
      <c r="C14" s="34">
        <v>2024</v>
      </c>
      <c r="D14" s="35">
        <v>527368000000</v>
      </c>
      <c r="E14" s="32">
        <v>2696874000000</v>
      </c>
      <c r="F14" s="33">
        <f t="shared" si="0"/>
        <v>0.19554788247430172</v>
      </c>
    </row>
    <row r="15" spans="1:6" ht="15.75" x14ac:dyDescent="0.25">
      <c r="A15" s="66">
        <v>3</v>
      </c>
      <c r="B15" s="68" t="s">
        <v>151</v>
      </c>
      <c r="C15" s="31">
        <v>2020</v>
      </c>
      <c r="D15" s="32">
        <v>1088477000000</v>
      </c>
      <c r="E15" s="32">
        <v>25970743000000</v>
      </c>
      <c r="F15" s="33">
        <f t="shared" si="0"/>
        <v>4.1911661903550466E-2</v>
      </c>
    </row>
    <row r="16" spans="1:6" ht="15.75" x14ac:dyDescent="0.25">
      <c r="A16" s="67"/>
      <c r="B16" s="67"/>
      <c r="C16" s="31">
        <v>2021</v>
      </c>
      <c r="D16" s="32">
        <v>1963050000000</v>
      </c>
      <c r="E16" s="32">
        <v>27493748000000</v>
      </c>
      <c r="F16" s="33">
        <f t="shared" si="0"/>
        <v>7.1399868799263022E-2</v>
      </c>
    </row>
    <row r="17" spans="1:6" ht="15.75" x14ac:dyDescent="0.25">
      <c r="A17" s="67"/>
      <c r="B17" s="67"/>
      <c r="C17" s="31">
        <v>2022</v>
      </c>
      <c r="D17" s="32">
        <v>2907478000000</v>
      </c>
      <c r="E17" s="32">
        <v>30746266000000</v>
      </c>
      <c r="F17" s="33">
        <f t="shared" si="0"/>
        <v>9.4563613025399576E-2</v>
      </c>
    </row>
    <row r="18" spans="1:6" ht="15.75" x14ac:dyDescent="0.25">
      <c r="A18" s="67"/>
      <c r="B18" s="67"/>
      <c r="C18" s="31">
        <v>2023</v>
      </c>
      <c r="D18" s="32">
        <v>3484025000000</v>
      </c>
      <c r="E18" s="32">
        <v>34246183000000</v>
      </c>
      <c r="F18" s="33">
        <f t="shared" si="0"/>
        <v>0.10173469551336568</v>
      </c>
    </row>
    <row r="19" spans="1:6" ht="15.75" x14ac:dyDescent="0.25">
      <c r="A19" s="67"/>
      <c r="B19" s="67"/>
      <c r="C19" s="34">
        <v>2024</v>
      </c>
      <c r="D19" s="35">
        <v>3220083000000</v>
      </c>
      <c r="E19" s="32">
        <v>38798382000000</v>
      </c>
      <c r="F19" s="33">
        <f t="shared" si="0"/>
        <v>8.2995290886099318E-2</v>
      </c>
    </row>
    <row r="20" spans="1:6" ht="15.75" x14ac:dyDescent="0.25">
      <c r="A20" s="66">
        <v>4</v>
      </c>
      <c r="B20" s="68" t="s">
        <v>156</v>
      </c>
      <c r="C20" s="31">
        <v>2020</v>
      </c>
      <c r="D20" s="32">
        <v>275667000000</v>
      </c>
      <c r="E20" s="32">
        <v>2914979000000</v>
      </c>
      <c r="F20" s="33">
        <f t="shared" si="0"/>
        <v>9.4569120395035441E-2</v>
      </c>
    </row>
    <row r="21" spans="1:6" ht="15.75" x14ac:dyDescent="0.25">
      <c r="A21" s="67"/>
      <c r="B21" s="67"/>
      <c r="C21" s="31">
        <v>2021</v>
      </c>
      <c r="D21" s="32">
        <v>380992000000</v>
      </c>
      <c r="E21" s="32">
        <v>3132202000000</v>
      </c>
      <c r="F21" s="33">
        <f t="shared" si="0"/>
        <v>0.1216371102502329</v>
      </c>
    </row>
    <row r="22" spans="1:6" ht="15.75" x14ac:dyDescent="0.25">
      <c r="A22" s="67"/>
      <c r="B22" s="67"/>
      <c r="C22" s="31">
        <v>2022</v>
      </c>
      <c r="D22" s="32">
        <v>523242000000</v>
      </c>
      <c r="E22" s="32">
        <v>3410481000000</v>
      </c>
      <c r="F22" s="33">
        <f t="shared" si="0"/>
        <v>0.1534217607428395</v>
      </c>
    </row>
    <row r="23" spans="1:6" ht="15.75" x14ac:dyDescent="0.25">
      <c r="A23" s="67"/>
      <c r="B23" s="67"/>
      <c r="C23" s="31">
        <v>2023</v>
      </c>
      <c r="D23" s="32">
        <v>595740000000</v>
      </c>
      <c r="E23" s="32">
        <v>3901820000000</v>
      </c>
      <c r="F23" s="33">
        <f t="shared" si="0"/>
        <v>0.15268259427651712</v>
      </c>
    </row>
    <row r="24" spans="1:6" ht="15.75" x14ac:dyDescent="0.25">
      <c r="A24" s="67"/>
      <c r="B24" s="67"/>
      <c r="C24" s="34">
        <v>2024</v>
      </c>
      <c r="D24" s="35">
        <v>178640000000</v>
      </c>
      <c r="E24" s="32">
        <v>3634529000000</v>
      </c>
      <c r="F24" s="33">
        <f t="shared" si="0"/>
        <v>4.9150797806263205E-2</v>
      </c>
    </row>
    <row r="25" spans="1:6" ht="15.75" x14ac:dyDescent="0.25">
      <c r="A25" s="66">
        <v>5</v>
      </c>
      <c r="B25" s="68" t="s">
        <v>157</v>
      </c>
      <c r="C25" s="31">
        <v>2020</v>
      </c>
      <c r="D25" s="32">
        <v>67093000000</v>
      </c>
      <c r="E25" s="32">
        <v>2963007000000</v>
      </c>
      <c r="F25" s="33">
        <f t="shared" si="0"/>
        <v>2.2643550960223854E-2</v>
      </c>
    </row>
    <row r="26" spans="1:6" ht="15.75" x14ac:dyDescent="0.25">
      <c r="A26" s="67"/>
      <c r="B26" s="67"/>
      <c r="C26" s="31">
        <v>2021</v>
      </c>
      <c r="D26" s="32">
        <v>91723000000</v>
      </c>
      <c r="E26" s="32">
        <v>2993218000000</v>
      </c>
      <c r="F26" s="33">
        <f t="shared" si="0"/>
        <v>3.0643608317202423E-2</v>
      </c>
    </row>
    <row r="27" spans="1:6" ht="15.75" x14ac:dyDescent="0.25">
      <c r="A27" s="67"/>
      <c r="B27" s="67"/>
      <c r="C27" s="31">
        <v>2022</v>
      </c>
      <c r="D27" s="32">
        <v>93065000000</v>
      </c>
      <c r="E27" s="32">
        <v>3173651000000</v>
      </c>
      <c r="F27" s="33">
        <f t="shared" si="0"/>
        <v>2.9324270375034937E-2</v>
      </c>
    </row>
    <row r="28" spans="1:6" ht="15.75" x14ac:dyDescent="0.25">
      <c r="A28" s="67"/>
      <c r="B28" s="67"/>
      <c r="C28" s="31">
        <v>2023</v>
      </c>
      <c r="D28" s="32">
        <v>102542000000</v>
      </c>
      <c r="E28" s="32">
        <v>3327846000000</v>
      </c>
      <c r="F28" s="33">
        <f t="shared" si="0"/>
        <v>3.0813324895442879E-2</v>
      </c>
    </row>
    <row r="29" spans="1:6" ht="15.75" x14ac:dyDescent="0.25">
      <c r="A29" s="67"/>
      <c r="B29" s="67"/>
      <c r="C29" s="34">
        <v>2024</v>
      </c>
      <c r="D29" s="35">
        <v>67848000000</v>
      </c>
      <c r="E29" s="32">
        <v>3817011000000</v>
      </c>
      <c r="F29" s="33">
        <f t="shared" si="0"/>
        <v>1.7775164913069415E-2</v>
      </c>
    </row>
    <row r="30" spans="1:6" ht="15.75" x14ac:dyDescent="0.25">
      <c r="A30" s="66">
        <v>6</v>
      </c>
      <c r="B30" s="68" t="s">
        <v>158</v>
      </c>
      <c r="C30" s="31">
        <v>2020</v>
      </c>
      <c r="D30" s="32">
        <v>181812593992</v>
      </c>
      <c r="E30" s="32">
        <v>1566673828068</v>
      </c>
      <c r="F30" s="33">
        <f t="shared" si="0"/>
        <v>0.11605006143251191</v>
      </c>
    </row>
    <row r="31" spans="1:6" ht="15.75" x14ac:dyDescent="0.25">
      <c r="A31" s="67"/>
      <c r="B31" s="67"/>
      <c r="C31" s="31">
        <v>2021</v>
      </c>
      <c r="D31" s="32">
        <v>187066990085</v>
      </c>
      <c r="E31" s="32">
        <v>1697387196209</v>
      </c>
      <c r="F31" s="33">
        <f t="shared" si="0"/>
        <v>0.11020879060641056</v>
      </c>
    </row>
    <row r="32" spans="1:6" ht="15.75" x14ac:dyDescent="0.25">
      <c r="A32" s="67"/>
      <c r="B32" s="67"/>
      <c r="C32" s="31">
        <v>2022</v>
      </c>
      <c r="D32" s="32">
        <v>220704543072</v>
      </c>
      <c r="E32" s="32">
        <v>1718287453575</v>
      </c>
      <c r="F32" s="33">
        <f t="shared" si="0"/>
        <v>0.12844448268117828</v>
      </c>
    </row>
    <row r="33" spans="1:6" ht="15.75" x14ac:dyDescent="0.25">
      <c r="A33" s="67"/>
      <c r="B33" s="67"/>
      <c r="C33" s="31">
        <v>2023</v>
      </c>
      <c r="D33" s="32">
        <v>153574779624</v>
      </c>
      <c r="E33" s="32">
        <v>1893560797758</v>
      </c>
      <c r="F33" s="33">
        <f t="shared" si="0"/>
        <v>8.1103696171696466E-2</v>
      </c>
    </row>
    <row r="34" spans="1:6" ht="15.75" x14ac:dyDescent="0.25">
      <c r="A34" s="67"/>
      <c r="B34" s="67"/>
      <c r="C34" s="34">
        <v>2024</v>
      </c>
      <c r="D34" s="32">
        <v>324942516449</v>
      </c>
      <c r="E34" s="32">
        <v>2385281736023</v>
      </c>
      <c r="F34" s="33">
        <f t="shared" si="0"/>
        <v>0.13622814929643462</v>
      </c>
    </row>
    <row r="35" spans="1:6" ht="15.75" x14ac:dyDescent="0.25">
      <c r="A35" s="66">
        <v>7</v>
      </c>
      <c r="B35" s="68" t="s">
        <v>159</v>
      </c>
      <c r="C35" s="31">
        <v>2020</v>
      </c>
      <c r="D35" s="32">
        <v>3845833000000</v>
      </c>
      <c r="E35" s="32">
        <v>31159291000000</v>
      </c>
      <c r="F35" s="33">
        <f t="shared" si="0"/>
        <v>0.12342492003428447</v>
      </c>
    </row>
    <row r="36" spans="1:6" ht="15.75" x14ac:dyDescent="0.25">
      <c r="A36" s="67"/>
      <c r="B36" s="67"/>
      <c r="C36" s="31">
        <v>2021</v>
      </c>
      <c r="D36" s="32">
        <v>3619010000000</v>
      </c>
      <c r="E36" s="32">
        <v>35446051000000</v>
      </c>
      <c r="F36" s="33">
        <f t="shared" si="0"/>
        <v>0.10209910266167591</v>
      </c>
    </row>
    <row r="37" spans="1:6" ht="15.75" x14ac:dyDescent="0.25">
      <c r="A37" s="67"/>
      <c r="B37" s="67"/>
      <c r="C37" s="31">
        <v>2022</v>
      </c>
      <c r="D37" s="32">
        <v>2930357000000</v>
      </c>
      <c r="E37" s="32">
        <v>39847545000000</v>
      </c>
      <c r="F37" s="33">
        <f t="shared" si="0"/>
        <v>7.353921050845165E-2</v>
      </c>
    </row>
    <row r="38" spans="1:6" ht="15.75" x14ac:dyDescent="0.25">
      <c r="A38" s="67"/>
      <c r="B38" s="67"/>
      <c r="C38" s="31">
        <v>2023</v>
      </c>
      <c r="D38" s="32">
        <v>2318088000000</v>
      </c>
      <c r="E38" s="32">
        <v>40970800000000</v>
      </c>
      <c r="F38" s="33">
        <f t="shared" si="0"/>
        <v>5.6579027014361447E-2</v>
      </c>
    </row>
    <row r="39" spans="1:6" ht="15.75" x14ac:dyDescent="0.25">
      <c r="A39" s="67"/>
      <c r="B39" s="67"/>
      <c r="C39" s="34">
        <v>2024</v>
      </c>
      <c r="D39" s="35">
        <v>3711601000000</v>
      </c>
      <c r="E39" s="32">
        <v>42791000000000</v>
      </c>
      <c r="F39" s="33">
        <f t="shared" si="0"/>
        <v>8.6737888808394295E-2</v>
      </c>
    </row>
    <row r="40" spans="1:6" ht="15.75" x14ac:dyDescent="0.25">
      <c r="A40" s="66">
        <v>8</v>
      </c>
      <c r="B40" s="68" t="s">
        <v>163</v>
      </c>
      <c r="C40" s="31">
        <v>2020</v>
      </c>
      <c r="D40" s="32">
        <v>381422000000</v>
      </c>
      <c r="E40" s="32">
        <v>6326293000000</v>
      </c>
      <c r="F40" s="33">
        <f t="shared" si="0"/>
        <v>6.0291548304828753E-2</v>
      </c>
    </row>
    <row r="41" spans="1:6" ht="15.75" x14ac:dyDescent="0.25">
      <c r="A41" s="67"/>
      <c r="B41" s="67"/>
      <c r="C41" s="31">
        <v>2021</v>
      </c>
      <c r="D41" s="32">
        <v>2212293000000</v>
      </c>
      <c r="E41" s="32">
        <v>6448014000000</v>
      </c>
      <c r="F41" s="33">
        <f t="shared" si="0"/>
        <v>0.34309680469056053</v>
      </c>
    </row>
    <row r="42" spans="1:6" ht="15.75" x14ac:dyDescent="0.25">
      <c r="A42" s="67"/>
      <c r="B42" s="67"/>
      <c r="C42" s="31">
        <v>2022</v>
      </c>
      <c r="D42" s="32">
        <v>373978000000</v>
      </c>
      <c r="E42" s="32">
        <v>6833737000000</v>
      </c>
      <c r="F42" s="33">
        <f t="shared" si="0"/>
        <v>5.4725255010545475E-2</v>
      </c>
    </row>
    <row r="43" spans="1:6" ht="15.75" x14ac:dyDescent="0.25">
      <c r="A43" s="67"/>
      <c r="B43" s="67"/>
      <c r="C43" s="31">
        <v>2023</v>
      </c>
      <c r="D43" s="32">
        <v>401774000000</v>
      </c>
      <c r="E43" s="32">
        <v>6856338000000</v>
      </c>
      <c r="F43" s="33">
        <f t="shared" si="0"/>
        <v>5.8598919714868199E-2</v>
      </c>
    </row>
    <row r="44" spans="1:6" ht="15.75" x14ac:dyDescent="0.25">
      <c r="A44" s="67"/>
      <c r="B44" s="67"/>
      <c r="C44" s="34">
        <v>2024</v>
      </c>
      <c r="D44" s="32">
        <v>320155000000</v>
      </c>
      <c r="E44" s="32">
        <v>6706321000000</v>
      </c>
      <c r="F44" s="33">
        <f t="shared" si="0"/>
        <v>4.7739289544893544E-2</v>
      </c>
    </row>
    <row r="45" spans="1:6" ht="15" customHeight="1" x14ac:dyDescent="0.25">
      <c r="A45" s="66">
        <v>9</v>
      </c>
      <c r="B45" s="68" t="s">
        <v>160</v>
      </c>
      <c r="C45" s="31">
        <v>2020</v>
      </c>
      <c r="D45" s="32">
        <v>123465762000</v>
      </c>
      <c r="E45" s="32">
        <v>1225580913000</v>
      </c>
      <c r="F45" s="33">
        <f t="shared" si="0"/>
        <v>0.10074060446794833</v>
      </c>
    </row>
    <row r="46" spans="1:6" ht="15" customHeight="1" x14ac:dyDescent="0.25">
      <c r="A46" s="67"/>
      <c r="B46" s="67"/>
      <c r="C46" s="31">
        <v>2021</v>
      </c>
      <c r="D46" s="32">
        <v>187992998000</v>
      </c>
      <c r="E46" s="32">
        <v>1308722065000</v>
      </c>
      <c r="F46" s="33">
        <f t="shared" si="0"/>
        <v>0.14364623553588515</v>
      </c>
    </row>
    <row r="47" spans="1:6" ht="15" customHeight="1" x14ac:dyDescent="0.25">
      <c r="A47" s="67"/>
      <c r="B47" s="67"/>
      <c r="C47" s="31">
        <v>2022</v>
      </c>
      <c r="D47" s="32">
        <v>230065807000</v>
      </c>
      <c r="E47" s="32">
        <v>1307186367000</v>
      </c>
      <c r="F47" s="33">
        <f t="shared" si="0"/>
        <v>0.17600076990399027</v>
      </c>
    </row>
    <row r="48" spans="1:6" ht="15" customHeight="1" x14ac:dyDescent="0.25">
      <c r="A48" s="67"/>
      <c r="B48" s="67"/>
      <c r="C48" s="31">
        <v>2023</v>
      </c>
      <c r="D48" s="32">
        <v>199611841000</v>
      </c>
      <c r="E48" s="32">
        <v>1208050010000</v>
      </c>
      <c r="F48" s="33">
        <f t="shared" si="0"/>
        <v>0.16523474967729193</v>
      </c>
    </row>
    <row r="49" spans="1:6" ht="15" customHeight="1" x14ac:dyDescent="0.25">
      <c r="A49" s="67"/>
      <c r="B49" s="67"/>
      <c r="C49" s="34">
        <v>2024</v>
      </c>
      <c r="D49" s="35">
        <v>142367399000</v>
      </c>
      <c r="E49" s="32">
        <v>1118177188000</v>
      </c>
      <c r="F49" s="33">
        <f t="shared" si="0"/>
        <v>0.12732096534239079</v>
      </c>
    </row>
    <row r="50" spans="1:6" ht="15" customHeight="1" x14ac:dyDescent="0.25">
      <c r="A50" s="66">
        <v>10</v>
      </c>
      <c r="B50" s="68" t="s">
        <v>161</v>
      </c>
      <c r="C50" s="31">
        <v>2020</v>
      </c>
      <c r="D50" s="32">
        <v>478171000000</v>
      </c>
      <c r="E50" s="32">
        <v>14151383000000</v>
      </c>
      <c r="F50" s="33">
        <f t="shared" si="0"/>
        <v>3.3789700978342538E-2</v>
      </c>
    </row>
    <row r="51" spans="1:6" ht="15" customHeight="1" x14ac:dyDescent="0.25">
      <c r="A51" s="67"/>
      <c r="B51" s="67"/>
      <c r="C51" s="31">
        <v>2021</v>
      </c>
      <c r="D51" s="32">
        <v>739649000000</v>
      </c>
      <c r="E51" s="32">
        <v>13712160000000</v>
      </c>
      <c r="F51" s="33">
        <f t="shared" si="0"/>
        <v>5.3941100453903691E-2</v>
      </c>
    </row>
    <row r="52" spans="1:6" ht="15" customHeight="1" x14ac:dyDescent="0.25">
      <c r="A52" s="67"/>
      <c r="B52" s="67"/>
      <c r="C52" s="31">
        <v>2022</v>
      </c>
      <c r="D52" s="32">
        <v>1206587000000</v>
      </c>
      <c r="E52" s="32">
        <v>15357229000000</v>
      </c>
      <c r="F52" s="33">
        <f t="shared" si="0"/>
        <v>7.8568015102203653E-2</v>
      </c>
    </row>
    <row r="53" spans="1:6" ht="15" customHeight="1" x14ac:dyDescent="0.25">
      <c r="A53" s="67"/>
      <c r="B53" s="67"/>
      <c r="C53" s="31">
        <v>2023</v>
      </c>
      <c r="D53" s="32">
        <v>841665000000</v>
      </c>
      <c r="E53" s="32">
        <v>16178278000000</v>
      </c>
      <c r="F53" s="33">
        <f t="shared" si="0"/>
        <v>5.202438726791566E-2</v>
      </c>
    </row>
    <row r="54" spans="1:6" ht="15" customHeight="1" x14ac:dyDescent="0.25">
      <c r="A54" s="67"/>
      <c r="B54" s="67"/>
      <c r="C54" s="34">
        <v>2024</v>
      </c>
      <c r="D54" s="35">
        <v>1141375000000</v>
      </c>
      <c r="E54" s="32">
        <v>17412416000000</v>
      </c>
      <c r="F54" s="33">
        <f t="shared" si="0"/>
        <v>6.5549490662295221E-2</v>
      </c>
    </row>
    <row r="55" spans="1:6" ht="15.75" x14ac:dyDescent="0.25">
      <c r="A55" s="66">
        <v>11</v>
      </c>
      <c r="B55" s="68" t="s">
        <v>162</v>
      </c>
      <c r="C55" s="31">
        <v>2020</v>
      </c>
      <c r="D55" s="32">
        <v>679870547997</v>
      </c>
      <c r="E55" s="32">
        <v>9211731059218</v>
      </c>
      <c r="F55" s="33">
        <f t="shared" si="0"/>
        <v>7.3804862910827898E-2</v>
      </c>
    </row>
    <row r="56" spans="1:6" ht="15.75" x14ac:dyDescent="0.25">
      <c r="A56" s="67"/>
      <c r="B56" s="67"/>
      <c r="C56" s="31">
        <v>2021</v>
      </c>
      <c r="D56" s="32">
        <v>846240999497</v>
      </c>
      <c r="E56" s="32">
        <v>9729919645520</v>
      </c>
      <c r="F56" s="33">
        <f t="shared" si="0"/>
        <v>8.6973071754671616E-2</v>
      </c>
    </row>
    <row r="57" spans="1:6" ht="15.75" x14ac:dyDescent="0.25">
      <c r="A57" s="67"/>
      <c r="B57" s="67"/>
      <c r="C57" s="31">
        <v>2022</v>
      </c>
      <c r="D57" s="32">
        <v>842590883679</v>
      </c>
      <c r="E57" s="32">
        <v>10402356853033</v>
      </c>
      <c r="F57" s="33">
        <f t="shared" si="0"/>
        <v>8.099999794117109E-2</v>
      </c>
    </row>
    <row r="58" spans="1:6" ht="15.75" x14ac:dyDescent="0.25">
      <c r="A58" s="67"/>
      <c r="B58" s="67"/>
      <c r="C58" s="31">
        <v>2023</v>
      </c>
      <c r="D58" s="32">
        <v>688374430004</v>
      </c>
      <c r="E58" s="32">
        <v>10955849005936</v>
      </c>
      <c r="F58" s="33">
        <f t="shared" si="0"/>
        <v>6.283168284183463E-2</v>
      </c>
    </row>
    <row r="59" spans="1:6" ht="15.75" x14ac:dyDescent="0.25">
      <c r="A59" s="67"/>
      <c r="B59" s="67"/>
      <c r="C59" s="34">
        <v>2024</v>
      </c>
      <c r="D59" s="32">
        <v>738328424610</v>
      </c>
      <c r="E59" s="32">
        <v>11487396544564</v>
      </c>
      <c r="F59" s="33">
        <f t="shared" si="0"/>
        <v>6.4272911772980237E-2</v>
      </c>
    </row>
    <row r="60" spans="1:6" ht="15.75" x14ac:dyDescent="0.25">
      <c r="A60" s="66">
        <v>12</v>
      </c>
      <c r="B60" s="68" t="s">
        <v>164</v>
      </c>
      <c r="C60" s="31">
        <v>2020</v>
      </c>
      <c r="D60" s="32">
        <v>7647729000000</v>
      </c>
      <c r="E60" s="32">
        <v>78191409000000</v>
      </c>
      <c r="F60" s="33">
        <f t="shared" si="0"/>
        <v>9.7807791134701255E-2</v>
      </c>
    </row>
    <row r="61" spans="1:6" ht="15.75" x14ac:dyDescent="0.25">
      <c r="A61" s="67"/>
      <c r="B61" s="67"/>
      <c r="C61" s="31">
        <v>2021</v>
      </c>
      <c r="D61" s="32">
        <v>5605321000000</v>
      </c>
      <c r="E61" s="32">
        <v>89964369000000</v>
      </c>
      <c r="F61" s="33">
        <f t="shared" si="0"/>
        <v>6.2306011394355466E-2</v>
      </c>
    </row>
    <row r="62" spans="1:6" ht="15.75" x14ac:dyDescent="0.25">
      <c r="A62" s="67"/>
      <c r="B62" s="67"/>
      <c r="C62" s="31">
        <v>2022</v>
      </c>
      <c r="D62" s="32">
        <v>2779742000000</v>
      </c>
      <c r="E62" s="32">
        <v>88562617000000</v>
      </c>
      <c r="F62" s="33">
        <f t="shared" si="0"/>
        <v>3.138730645233756E-2</v>
      </c>
    </row>
    <row r="63" spans="1:6" ht="15.75" x14ac:dyDescent="0.25">
      <c r="A63" s="67"/>
      <c r="B63" s="67"/>
      <c r="C63" s="31">
        <v>2023</v>
      </c>
      <c r="D63" s="32">
        <v>5324516000000</v>
      </c>
      <c r="E63" s="32">
        <v>92450823000000</v>
      </c>
      <c r="F63" s="33">
        <f t="shared" si="0"/>
        <v>5.7592954040008922E-2</v>
      </c>
    </row>
    <row r="64" spans="1:6" ht="15.75" x14ac:dyDescent="0.25">
      <c r="A64" s="67"/>
      <c r="B64" s="67"/>
      <c r="C64" s="34">
        <v>2024</v>
      </c>
      <c r="D64" s="35">
        <v>980804000000</v>
      </c>
      <c r="E64" s="32">
        <v>84939276000000</v>
      </c>
      <c r="F64" s="33">
        <f t="shared" si="0"/>
        <v>1.1547119850656604E-2</v>
      </c>
    </row>
    <row r="65" spans="1:6" ht="15.75" x14ac:dyDescent="0.25">
      <c r="A65" s="66">
        <v>13</v>
      </c>
      <c r="B65" s="68" t="s">
        <v>165</v>
      </c>
      <c r="C65" s="31">
        <v>2020</v>
      </c>
      <c r="D65" s="32">
        <v>8581378000000</v>
      </c>
      <c r="E65" s="32">
        <v>49674030000000</v>
      </c>
      <c r="F65" s="33">
        <f t="shared" si="0"/>
        <v>0.17275381119671587</v>
      </c>
    </row>
    <row r="66" spans="1:6" ht="15.75" x14ac:dyDescent="0.25">
      <c r="A66" s="67"/>
      <c r="B66" s="67"/>
      <c r="C66" s="31">
        <v>2021</v>
      </c>
      <c r="D66" s="32">
        <v>7137097000000</v>
      </c>
      <c r="E66" s="32">
        <v>53090428000000</v>
      </c>
      <c r="F66" s="33">
        <f t="shared" si="0"/>
        <v>0.13443283975785617</v>
      </c>
    </row>
    <row r="67" spans="1:6" ht="15.75" x14ac:dyDescent="0.25">
      <c r="A67" s="67"/>
      <c r="B67" s="67"/>
      <c r="C67" s="31">
        <v>2022</v>
      </c>
      <c r="D67" s="32">
        <v>6323744000000</v>
      </c>
      <c r="E67" s="32">
        <v>54786992000000</v>
      </c>
      <c r="F67" s="33">
        <f t="shared" si="0"/>
        <v>0.11542418682157253</v>
      </c>
    </row>
    <row r="68" spans="1:6" ht="15.75" x14ac:dyDescent="0.25">
      <c r="A68" s="67"/>
      <c r="B68" s="67"/>
      <c r="C68" s="31">
        <v>2023</v>
      </c>
      <c r="D68" s="32">
        <v>8096811000000</v>
      </c>
      <c r="E68" s="32">
        <v>55316264000000</v>
      </c>
      <c r="F68" s="33">
        <f t="shared" si="0"/>
        <v>0.14637306308321907</v>
      </c>
    </row>
    <row r="69" spans="1:6" ht="15.75" x14ac:dyDescent="0.25">
      <c r="A69" s="67"/>
      <c r="B69" s="67"/>
      <c r="C69" s="34">
        <v>2024</v>
      </c>
      <c r="D69" s="32">
        <v>6645774000000</v>
      </c>
      <c r="E69" s="32">
        <v>54290706000000</v>
      </c>
      <c r="F69" s="33">
        <f t="shared" si="0"/>
        <v>0.12241089662750011</v>
      </c>
    </row>
    <row r="70" spans="1:6" ht="15.75" x14ac:dyDescent="0.25">
      <c r="A70" s="66">
        <v>14</v>
      </c>
      <c r="B70" s="68" t="s">
        <v>166</v>
      </c>
      <c r="C70" s="31">
        <v>2020</v>
      </c>
      <c r="D70" s="32">
        <v>7418574000000</v>
      </c>
      <c r="E70" s="32">
        <v>103588325000000</v>
      </c>
      <c r="F70" s="33">
        <f t="shared" ref="F70:F133" si="1">D70/E70</f>
        <v>7.1615927760198844E-2</v>
      </c>
    </row>
    <row r="71" spans="1:6" ht="15.75" x14ac:dyDescent="0.25">
      <c r="A71" s="67"/>
      <c r="B71" s="67"/>
      <c r="C71" s="31">
        <v>2021</v>
      </c>
      <c r="D71" s="32">
        <v>7911943000000</v>
      </c>
      <c r="E71" s="32">
        <v>118066628000000</v>
      </c>
      <c r="F71" s="33">
        <f t="shared" si="1"/>
        <v>6.701252618140327E-2</v>
      </c>
    </row>
    <row r="72" spans="1:6" ht="15.75" x14ac:dyDescent="0.25">
      <c r="A72" s="67"/>
      <c r="B72" s="67"/>
      <c r="C72" s="31">
        <v>2022</v>
      </c>
      <c r="D72" s="32">
        <v>5722194000000</v>
      </c>
      <c r="E72" s="32">
        <v>115305536000000</v>
      </c>
      <c r="F72" s="33">
        <f t="shared" si="1"/>
        <v>4.9626359657180728E-2</v>
      </c>
    </row>
    <row r="73" spans="1:6" ht="15.75" x14ac:dyDescent="0.25">
      <c r="A73" s="67"/>
      <c r="B73" s="67"/>
      <c r="C73" s="31">
        <v>2023</v>
      </c>
      <c r="D73" s="32">
        <v>8465123000000</v>
      </c>
      <c r="E73" s="32">
        <v>119267076000000</v>
      </c>
      <c r="F73" s="33">
        <f t="shared" si="1"/>
        <v>7.0976192960410966E-2</v>
      </c>
    </row>
    <row r="74" spans="1:6" ht="15.75" x14ac:dyDescent="0.25">
      <c r="A74" s="67"/>
      <c r="B74" s="67"/>
      <c r="C74" s="34">
        <v>2024</v>
      </c>
      <c r="D74" s="32">
        <v>8813377000000</v>
      </c>
      <c r="E74" s="32">
        <v>126040905000000</v>
      </c>
      <c r="F74" s="33">
        <f t="shared" si="1"/>
        <v>6.9924735941875371E-2</v>
      </c>
    </row>
    <row r="75" spans="1:6" ht="15.75" x14ac:dyDescent="0.25">
      <c r="A75" s="66">
        <v>15</v>
      </c>
      <c r="B75" s="68" t="s">
        <v>167</v>
      </c>
      <c r="C75" s="31">
        <v>2020</v>
      </c>
      <c r="D75" s="32">
        <v>8752066000000</v>
      </c>
      <c r="E75" s="32">
        <v>163136516000000</v>
      </c>
      <c r="F75" s="33">
        <f t="shared" si="1"/>
        <v>5.3648724482996804E-2</v>
      </c>
    </row>
    <row r="76" spans="1:6" ht="15.75" x14ac:dyDescent="0.25">
      <c r="A76" s="67"/>
      <c r="B76" s="67"/>
      <c r="C76" s="31">
        <v>2021</v>
      </c>
      <c r="D76" s="32">
        <v>11229695000000</v>
      </c>
      <c r="E76" s="32">
        <v>179356193000000</v>
      </c>
      <c r="F76" s="33">
        <f t="shared" si="1"/>
        <v>6.2611136042567545E-2</v>
      </c>
    </row>
    <row r="77" spans="1:6" ht="15.75" x14ac:dyDescent="0.25">
      <c r="A77" s="67"/>
      <c r="B77" s="67"/>
      <c r="C77" s="31">
        <v>2022</v>
      </c>
      <c r="D77" s="32">
        <v>9192569000000</v>
      </c>
      <c r="E77" s="32">
        <v>180433300000000</v>
      </c>
      <c r="F77" s="33">
        <f t="shared" si="1"/>
        <v>5.0947186578087306E-2</v>
      </c>
    </row>
    <row r="78" spans="1:6" ht="15.75" x14ac:dyDescent="0.25">
      <c r="A78" s="67"/>
      <c r="B78" s="67"/>
      <c r="C78" s="31">
        <v>2023</v>
      </c>
      <c r="D78" s="32">
        <v>11493733000000</v>
      </c>
      <c r="E78" s="32">
        <v>186587957000000</v>
      </c>
      <c r="F78" s="33">
        <f t="shared" si="1"/>
        <v>6.1599543640429057E-2</v>
      </c>
    </row>
    <row r="79" spans="1:6" ht="15.75" x14ac:dyDescent="0.25">
      <c r="A79" s="67"/>
      <c r="B79" s="67"/>
      <c r="C79" s="34">
        <v>2024</v>
      </c>
      <c r="D79" s="32">
        <v>13077496000000</v>
      </c>
      <c r="E79" s="32">
        <v>201713313000000</v>
      </c>
      <c r="F79" s="33">
        <f t="shared" si="1"/>
        <v>6.4832091672600706E-2</v>
      </c>
    </row>
    <row r="80" spans="1:6" ht="15.75" x14ac:dyDescent="0.25">
      <c r="A80" s="66">
        <v>16</v>
      </c>
      <c r="B80" s="68" t="s">
        <v>168</v>
      </c>
      <c r="C80" s="31">
        <v>2020</v>
      </c>
      <c r="D80" s="32">
        <v>1002376000000</v>
      </c>
      <c r="E80" s="32">
        <v>25951760000000</v>
      </c>
      <c r="F80" s="33">
        <f t="shared" si="1"/>
        <v>3.8624586540566032E-2</v>
      </c>
    </row>
    <row r="81" spans="1:6" ht="15.75" x14ac:dyDescent="0.25">
      <c r="A81" s="67"/>
      <c r="B81" s="67"/>
      <c r="C81" s="31">
        <v>2021</v>
      </c>
      <c r="D81" s="32">
        <v>2130896000000</v>
      </c>
      <c r="E81" s="32">
        <v>28589656000000</v>
      </c>
      <c r="F81" s="33">
        <f t="shared" si="1"/>
        <v>7.4533810410310639E-2</v>
      </c>
    </row>
    <row r="82" spans="1:6" ht="15.75" x14ac:dyDescent="0.25">
      <c r="A82" s="67"/>
      <c r="B82" s="67"/>
      <c r="C82" s="31">
        <v>2022</v>
      </c>
      <c r="D82" s="32">
        <v>1490931000000</v>
      </c>
      <c r="E82" s="32">
        <v>32690887000000</v>
      </c>
      <c r="F82" s="33">
        <f t="shared" si="1"/>
        <v>4.5606930151512869E-2</v>
      </c>
    </row>
    <row r="83" spans="1:6" ht="15.75" x14ac:dyDescent="0.25">
      <c r="A83" s="67"/>
      <c r="B83" s="67"/>
      <c r="C83" s="31">
        <v>2023</v>
      </c>
      <c r="D83" s="32">
        <v>945922000000</v>
      </c>
      <c r="E83" s="32">
        <v>34109431000000</v>
      </c>
      <c r="F83" s="33">
        <f t="shared" si="1"/>
        <v>2.7731978290696201E-2</v>
      </c>
    </row>
    <row r="84" spans="1:6" ht="15.75" x14ac:dyDescent="0.25">
      <c r="A84" s="67"/>
      <c r="B84" s="67"/>
      <c r="C84" s="34">
        <v>2024</v>
      </c>
      <c r="D84" s="32">
        <v>3212338000000</v>
      </c>
      <c r="E84" s="32">
        <v>34666283000000</v>
      </c>
      <c r="F84" s="33">
        <f t="shared" si="1"/>
        <v>9.2664621701726721E-2</v>
      </c>
    </row>
    <row r="85" spans="1:6" ht="15.75" x14ac:dyDescent="0.25">
      <c r="A85" s="66">
        <v>17</v>
      </c>
      <c r="B85" s="68" t="s">
        <v>169</v>
      </c>
      <c r="C85" s="31">
        <v>2020</v>
      </c>
      <c r="D85" s="32">
        <v>716152000000</v>
      </c>
      <c r="E85" s="32">
        <v>10922788000000</v>
      </c>
      <c r="F85" s="33">
        <f t="shared" si="1"/>
        <v>6.5564945506586786E-2</v>
      </c>
    </row>
    <row r="86" spans="1:6" ht="15.75" x14ac:dyDescent="0.25">
      <c r="A86" s="67"/>
      <c r="B86" s="67"/>
      <c r="C86" s="31">
        <v>2021</v>
      </c>
      <c r="D86" s="32">
        <v>991630000000</v>
      </c>
      <c r="E86" s="32">
        <v>11851182000000</v>
      </c>
      <c r="F86" s="33">
        <f t="shared" si="1"/>
        <v>8.3673510372214349E-2</v>
      </c>
    </row>
    <row r="87" spans="1:6" ht="15.75" x14ac:dyDescent="0.25">
      <c r="A87" s="67"/>
      <c r="B87" s="67"/>
      <c r="C87" s="31">
        <v>2022</v>
      </c>
      <c r="D87" s="32">
        <v>1035285000000</v>
      </c>
      <c r="E87" s="32">
        <v>12417013000000</v>
      </c>
      <c r="F87" s="33">
        <f t="shared" si="1"/>
        <v>8.3376332133984238E-2</v>
      </c>
    </row>
    <row r="88" spans="1:6" ht="15.75" x14ac:dyDescent="0.25">
      <c r="A88" s="67"/>
      <c r="B88" s="67"/>
      <c r="C88" s="31">
        <v>2023</v>
      </c>
      <c r="D88" s="32">
        <v>760673000000</v>
      </c>
      <c r="E88" s="32">
        <v>12514203000000</v>
      </c>
      <c r="F88" s="33">
        <f t="shared" si="1"/>
        <v>6.0784773908494211E-2</v>
      </c>
    </row>
    <row r="89" spans="1:6" ht="15.75" x14ac:dyDescent="0.25">
      <c r="A89" s="67"/>
      <c r="B89" s="67"/>
      <c r="C89" s="34">
        <v>2024</v>
      </c>
      <c r="D89" s="32">
        <v>1475654000000</v>
      </c>
      <c r="E89" s="32">
        <v>13841956000000</v>
      </c>
      <c r="F89" s="33">
        <f t="shared" si="1"/>
        <v>0.1066073320851475</v>
      </c>
    </row>
    <row r="90" spans="1:6" ht="15.75" x14ac:dyDescent="0.25">
      <c r="A90" s="66">
        <v>18</v>
      </c>
      <c r="B90" s="68" t="s">
        <v>170</v>
      </c>
      <c r="C90" s="31">
        <v>2020</v>
      </c>
      <c r="D90" s="32">
        <v>200273000000</v>
      </c>
      <c r="E90" s="32">
        <v>5923693000000</v>
      </c>
      <c r="F90" s="33">
        <f t="shared" si="1"/>
        <v>3.3808808120204745E-2</v>
      </c>
    </row>
    <row r="91" spans="1:6" ht="15.75" x14ac:dyDescent="0.25">
      <c r="A91" s="67"/>
      <c r="B91" s="67"/>
      <c r="C91" s="31">
        <v>2021</v>
      </c>
      <c r="D91" s="32">
        <v>269694000000</v>
      </c>
      <c r="E91" s="32">
        <v>6344016000000</v>
      </c>
      <c r="F91" s="33">
        <f t="shared" si="1"/>
        <v>4.2511557347900762E-2</v>
      </c>
    </row>
    <row r="92" spans="1:6" ht="15.75" x14ac:dyDescent="0.25">
      <c r="A92" s="67"/>
      <c r="B92" s="67"/>
      <c r="C92" s="31">
        <v>2022</v>
      </c>
      <c r="D92" s="32">
        <v>399121000000</v>
      </c>
      <c r="E92" s="32">
        <v>6905148000000</v>
      </c>
      <c r="F92" s="33">
        <f t="shared" si="1"/>
        <v>5.7800498990028891E-2</v>
      </c>
    </row>
    <row r="93" spans="1:6" ht="15.75" x14ac:dyDescent="0.25">
      <c r="A93" s="67"/>
      <c r="B93" s="67"/>
      <c r="C93" s="31">
        <v>2023</v>
      </c>
      <c r="D93" s="32">
        <v>516318000000</v>
      </c>
      <c r="E93" s="32">
        <v>7786109000000</v>
      </c>
      <c r="F93" s="33">
        <f t="shared" si="1"/>
        <v>6.6312711522533277E-2</v>
      </c>
    </row>
    <row r="94" spans="1:6" ht="15.75" x14ac:dyDescent="0.25">
      <c r="A94" s="67"/>
      <c r="B94" s="67"/>
      <c r="C94" s="34">
        <v>2024</v>
      </c>
      <c r="D94" s="32">
        <v>475577000000</v>
      </c>
      <c r="E94" s="32">
        <v>8732951000000</v>
      </c>
      <c r="F94" s="33">
        <f t="shared" si="1"/>
        <v>5.4457765765547061E-2</v>
      </c>
    </row>
    <row r="95" spans="1:6" ht="15.75" x14ac:dyDescent="0.25">
      <c r="A95" s="66">
        <v>19</v>
      </c>
      <c r="B95" s="68" t="s">
        <v>171</v>
      </c>
      <c r="C95" s="31">
        <v>2020</v>
      </c>
      <c r="D95" s="32">
        <v>285617000000</v>
      </c>
      <c r="E95" s="32">
        <v>2907425000000</v>
      </c>
      <c r="F95" s="33">
        <f t="shared" si="1"/>
        <v>9.8237099839204797E-2</v>
      </c>
    </row>
    <row r="96" spans="1:6" ht="15.75" x14ac:dyDescent="0.25">
      <c r="A96" s="67"/>
      <c r="B96" s="67"/>
      <c r="C96" s="31">
        <v>2021</v>
      </c>
      <c r="D96" s="32">
        <v>665850000000</v>
      </c>
      <c r="E96" s="32">
        <v>2922017000000</v>
      </c>
      <c r="F96" s="33">
        <f t="shared" si="1"/>
        <v>0.22787341757423041</v>
      </c>
    </row>
    <row r="97" spans="1:6" ht="15.75" x14ac:dyDescent="0.25">
      <c r="A97" s="67"/>
      <c r="B97" s="67"/>
      <c r="C97" s="31">
        <v>2022</v>
      </c>
      <c r="D97" s="32">
        <v>924906000000</v>
      </c>
      <c r="E97" s="32">
        <v>3374502000000</v>
      </c>
      <c r="F97" s="33">
        <f t="shared" si="1"/>
        <v>0.27408666523238095</v>
      </c>
    </row>
    <row r="98" spans="1:6" ht="15.75" x14ac:dyDescent="0.25">
      <c r="A98" s="67"/>
      <c r="B98" s="67"/>
      <c r="C98" s="31">
        <v>2023</v>
      </c>
      <c r="D98" s="32">
        <v>1066467000000</v>
      </c>
      <c r="E98" s="32">
        <v>3407442000000</v>
      </c>
      <c r="F98" s="33">
        <f t="shared" si="1"/>
        <v>0.31298170299010225</v>
      </c>
    </row>
    <row r="99" spans="1:6" ht="15.75" x14ac:dyDescent="0.25">
      <c r="A99" s="67"/>
      <c r="B99" s="67"/>
      <c r="C99" s="34">
        <v>2024</v>
      </c>
      <c r="D99" s="32">
        <v>1142246000000</v>
      </c>
      <c r="E99" s="32">
        <v>3441088000000</v>
      </c>
      <c r="F99" s="33">
        <f t="shared" si="1"/>
        <v>0.33194326910558519</v>
      </c>
    </row>
    <row r="100" spans="1:6" ht="15.75" x14ac:dyDescent="0.25">
      <c r="A100" s="66">
        <v>20</v>
      </c>
      <c r="B100" s="68" t="s">
        <v>172</v>
      </c>
      <c r="C100" s="31">
        <v>2020</v>
      </c>
      <c r="D100" s="32">
        <v>2098168514645</v>
      </c>
      <c r="E100" s="32">
        <v>19777500514550</v>
      </c>
      <c r="F100" s="33">
        <f t="shared" si="1"/>
        <v>0.10608865933798915</v>
      </c>
    </row>
    <row r="101" spans="1:6" ht="15.75" x14ac:dyDescent="0.25">
      <c r="A101" s="67"/>
      <c r="B101" s="67"/>
      <c r="C101" s="31">
        <v>2021</v>
      </c>
      <c r="D101" s="32">
        <v>1211052647953</v>
      </c>
      <c r="E101" s="32">
        <v>19917653265528</v>
      </c>
      <c r="F101" s="33">
        <f t="shared" si="1"/>
        <v>6.0802978734899468E-2</v>
      </c>
    </row>
    <row r="102" spans="1:6" ht="15.75" x14ac:dyDescent="0.25">
      <c r="A102" s="67"/>
      <c r="B102" s="67"/>
      <c r="C102" s="31">
        <v>2022</v>
      </c>
      <c r="D102" s="32">
        <v>1970064538149</v>
      </c>
      <c r="E102" s="32">
        <v>22276160695411</v>
      </c>
      <c r="F102" s="33">
        <f t="shared" si="1"/>
        <v>8.8438244142979405E-2</v>
      </c>
    </row>
    <row r="103" spans="1:6" ht="15.75" x14ac:dyDescent="0.25">
      <c r="A103" s="67"/>
      <c r="B103" s="67"/>
      <c r="C103" s="31">
        <v>2023</v>
      </c>
      <c r="D103" s="32">
        <v>3244872091221</v>
      </c>
      <c r="E103" s="32">
        <v>23870404962472</v>
      </c>
      <c r="F103" s="33">
        <f t="shared" si="1"/>
        <v>0.13593703568592344</v>
      </c>
    </row>
    <row r="104" spans="1:6" ht="15.75" x14ac:dyDescent="0.25">
      <c r="A104" s="67"/>
      <c r="B104" s="67"/>
      <c r="C104" s="34">
        <v>2024</v>
      </c>
      <c r="D104" s="32">
        <v>3067667675407</v>
      </c>
      <c r="E104" s="32">
        <v>29728781933757</v>
      </c>
      <c r="F104" s="33">
        <f t="shared" si="1"/>
        <v>0.10318847513640196</v>
      </c>
    </row>
    <row r="105" spans="1:6" ht="15.75" x14ac:dyDescent="0.25">
      <c r="A105" s="66">
        <v>21</v>
      </c>
      <c r="B105" s="68" t="s">
        <v>173</v>
      </c>
      <c r="C105" s="31">
        <v>2020</v>
      </c>
      <c r="D105" s="32">
        <v>168610282478</v>
      </c>
      <c r="E105" s="32">
        <v>4452166671985</v>
      </c>
      <c r="F105" s="33">
        <f t="shared" si="1"/>
        <v>3.7871511760548052E-2</v>
      </c>
    </row>
    <row r="106" spans="1:6" ht="15.75" x14ac:dyDescent="0.25">
      <c r="A106" s="67"/>
      <c r="B106" s="67"/>
      <c r="C106" s="31">
        <v>2021</v>
      </c>
      <c r="D106" s="32">
        <v>283602993676</v>
      </c>
      <c r="E106" s="32">
        <v>4191284422677</v>
      </c>
      <c r="F106" s="33">
        <f t="shared" si="1"/>
        <v>6.7664936347808374E-2</v>
      </c>
    </row>
    <row r="107" spans="1:6" ht="15.75" x14ac:dyDescent="0.25">
      <c r="A107" s="67"/>
      <c r="B107" s="67"/>
      <c r="C107" s="31">
        <v>2022</v>
      </c>
      <c r="D107" s="32">
        <v>432247722254</v>
      </c>
      <c r="E107" s="32">
        <v>4130321616083</v>
      </c>
      <c r="F107" s="33">
        <f t="shared" si="1"/>
        <v>0.10465231583198674</v>
      </c>
    </row>
    <row r="108" spans="1:6" ht="15.75" x14ac:dyDescent="0.25">
      <c r="A108" s="67"/>
      <c r="B108" s="67"/>
      <c r="C108" s="31">
        <v>2023</v>
      </c>
      <c r="D108" s="32">
        <v>333300420963</v>
      </c>
      <c r="E108" s="32">
        <v>3943518425042</v>
      </c>
      <c r="F108" s="33">
        <f t="shared" si="1"/>
        <v>8.4518540308189435E-2</v>
      </c>
    </row>
    <row r="109" spans="1:6" ht="15.75" x14ac:dyDescent="0.25">
      <c r="A109" s="67"/>
      <c r="B109" s="67"/>
      <c r="C109" s="34">
        <v>2024</v>
      </c>
      <c r="D109" s="32">
        <v>362195698480</v>
      </c>
      <c r="E109" s="32">
        <v>3746346988767</v>
      </c>
      <c r="F109" s="33">
        <f t="shared" si="1"/>
        <v>9.6679698801526673E-2</v>
      </c>
    </row>
    <row r="110" spans="1:6" ht="15.75" x14ac:dyDescent="0.25">
      <c r="A110" s="66">
        <v>22</v>
      </c>
      <c r="B110" s="68" t="s">
        <v>174</v>
      </c>
      <c r="C110" s="31">
        <v>2020</v>
      </c>
      <c r="D110" s="32">
        <v>2804331066</v>
      </c>
      <c r="E110" s="32">
        <v>1164826486522</v>
      </c>
      <c r="F110" s="33">
        <f t="shared" si="1"/>
        <v>2.4075097007566497E-3</v>
      </c>
    </row>
    <row r="111" spans="1:6" ht="15.75" x14ac:dyDescent="0.25">
      <c r="A111" s="67"/>
      <c r="B111" s="67"/>
      <c r="C111" s="31">
        <v>2021</v>
      </c>
      <c r="D111" s="32">
        <v>9571235584</v>
      </c>
      <c r="E111" s="32">
        <v>1206385542888</v>
      </c>
      <c r="F111" s="33">
        <f t="shared" si="1"/>
        <v>7.9338115749357802E-3</v>
      </c>
    </row>
    <row r="112" spans="1:6" ht="15.75" x14ac:dyDescent="0.25">
      <c r="A112" s="67"/>
      <c r="B112" s="67"/>
      <c r="C112" s="31">
        <v>2022</v>
      </c>
      <c r="D112" s="32">
        <v>24464054875</v>
      </c>
      <c r="E112" s="32">
        <v>1401504764117</v>
      </c>
      <c r="F112" s="33">
        <f t="shared" si="1"/>
        <v>1.7455563121409196E-2</v>
      </c>
    </row>
    <row r="113" spans="1:6" ht="15.75" x14ac:dyDescent="0.25">
      <c r="A113" s="67"/>
      <c r="B113" s="67"/>
      <c r="C113" s="31">
        <v>2023</v>
      </c>
      <c r="D113" s="32">
        <v>33081201848</v>
      </c>
      <c r="E113" s="32">
        <v>1639682291798</v>
      </c>
      <c r="F113" s="33">
        <f t="shared" si="1"/>
        <v>2.017537300578192E-2</v>
      </c>
    </row>
    <row r="114" spans="1:6" ht="15.75" x14ac:dyDescent="0.25">
      <c r="A114" s="67"/>
      <c r="B114" s="67"/>
      <c r="C114" s="34">
        <v>2024</v>
      </c>
      <c r="D114" s="32">
        <v>16914132122</v>
      </c>
      <c r="E114" s="32">
        <v>1771856829401</v>
      </c>
      <c r="F114" s="33">
        <f t="shared" si="1"/>
        <v>9.5459925662944502E-3</v>
      </c>
    </row>
    <row r="115" spans="1:6" ht="15.75" x14ac:dyDescent="0.25">
      <c r="A115" s="66">
        <v>23</v>
      </c>
      <c r="B115" s="68" t="s">
        <v>175</v>
      </c>
      <c r="C115" s="31">
        <v>2020</v>
      </c>
      <c r="D115" s="32">
        <v>42520246722</v>
      </c>
      <c r="E115" s="32">
        <v>773863042440</v>
      </c>
      <c r="F115" s="33">
        <f t="shared" si="1"/>
        <v>5.4945441751466928E-2</v>
      </c>
    </row>
    <row r="116" spans="1:6" ht="15.75" x14ac:dyDescent="0.25">
      <c r="A116" s="67"/>
      <c r="B116" s="67"/>
      <c r="C116" s="31">
        <v>2021</v>
      </c>
      <c r="D116" s="32">
        <v>84524160228</v>
      </c>
      <c r="E116" s="32">
        <v>889125250792</v>
      </c>
      <c r="F116" s="33">
        <f t="shared" si="1"/>
        <v>9.5064401953165761E-2</v>
      </c>
    </row>
    <row r="117" spans="1:6" ht="15.75" x14ac:dyDescent="0.25">
      <c r="A117" s="67"/>
      <c r="B117" s="67"/>
      <c r="C117" s="31">
        <v>2022</v>
      </c>
      <c r="D117" s="32">
        <v>74865302076</v>
      </c>
      <c r="E117" s="32">
        <v>1033289474829</v>
      </c>
      <c r="F117" s="33">
        <f t="shared" si="1"/>
        <v>7.245336752161298E-2</v>
      </c>
    </row>
    <row r="118" spans="1:6" ht="15.75" x14ac:dyDescent="0.25">
      <c r="A118" s="67"/>
      <c r="B118" s="67"/>
      <c r="C118" s="31">
        <v>2023</v>
      </c>
      <c r="D118" s="32">
        <v>78089597225</v>
      </c>
      <c r="E118" s="32">
        <v>1282739303035</v>
      </c>
      <c r="F118" s="33">
        <f t="shared" si="1"/>
        <v>6.0877215690076425E-2</v>
      </c>
    </row>
    <row r="119" spans="1:6" ht="15.75" x14ac:dyDescent="0.25">
      <c r="A119" s="67"/>
      <c r="B119" s="67"/>
      <c r="C119" s="34">
        <v>2024</v>
      </c>
      <c r="D119" s="35">
        <v>119048716890</v>
      </c>
      <c r="E119" s="32">
        <v>1522025167907</v>
      </c>
      <c r="F119" s="33">
        <f t="shared" si="1"/>
        <v>7.8217311645187068E-2</v>
      </c>
    </row>
    <row r="120" spans="1:6" ht="15.75" x14ac:dyDescent="0.25">
      <c r="A120" s="66">
        <v>24</v>
      </c>
      <c r="B120" s="68" t="s">
        <v>176</v>
      </c>
      <c r="C120" s="31">
        <v>2020</v>
      </c>
      <c r="D120" s="32">
        <v>1539798000000</v>
      </c>
      <c r="E120" s="32">
        <v>35026171000000</v>
      </c>
      <c r="F120" s="33">
        <f t="shared" si="1"/>
        <v>4.396135678090534E-2</v>
      </c>
    </row>
    <row r="121" spans="1:6" ht="15.75" x14ac:dyDescent="0.25">
      <c r="A121" s="67"/>
      <c r="B121" s="67"/>
      <c r="C121" s="31">
        <v>2021</v>
      </c>
      <c r="D121" s="32">
        <v>2829418000000</v>
      </c>
      <c r="E121" s="32">
        <v>40345003000000</v>
      </c>
      <c r="F121" s="33">
        <f t="shared" si="1"/>
        <v>7.0130568586151798E-2</v>
      </c>
    </row>
    <row r="122" spans="1:6" ht="15.75" x14ac:dyDescent="0.25">
      <c r="A122" s="67"/>
      <c r="B122" s="67"/>
      <c r="C122" s="31">
        <v>2022</v>
      </c>
      <c r="D122" s="32">
        <v>5504956000000</v>
      </c>
      <c r="E122" s="32">
        <v>42600814000000</v>
      </c>
      <c r="F122" s="33">
        <f t="shared" si="1"/>
        <v>0.12922185008014167</v>
      </c>
    </row>
    <row r="123" spans="1:6" ht="15.75" x14ac:dyDescent="0.25">
      <c r="A123" s="67"/>
      <c r="B123" s="67"/>
      <c r="C123" s="31">
        <v>2023</v>
      </c>
      <c r="D123" s="32">
        <v>917870000000</v>
      </c>
      <c r="E123" s="32">
        <v>39716363000000</v>
      </c>
      <c r="F123" s="33">
        <f t="shared" si="1"/>
        <v>2.3110625713638481E-2</v>
      </c>
    </row>
    <row r="124" spans="1:6" ht="15.75" x14ac:dyDescent="0.25">
      <c r="A124" s="67"/>
      <c r="B124" s="67"/>
      <c r="C124" s="34">
        <v>2024</v>
      </c>
      <c r="D124" s="32">
        <v>1278269000000</v>
      </c>
      <c r="E124" s="32">
        <v>45333131000000</v>
      </c>
      <c r="F124" s="33">
        <f t="shared" si="1"/>
        <v>2.8197236145017207E-2</v>
      </c>
    </row>
    <row r="125" spans="1:6" ht="15.75" x14ac:dyDescent="0.25">
      <c r="A125" s="66">
        <v>25</v>
      </c>
      <c r="B125" s="68" t="s">
        <v>177</v>
      </c>
      <c r="C125" s="31">
        <v>2020</v>
      </c>
      <c r="D125" s="32">
        <v>580854940000</v>
      </c>
      <c r="E125" s="32">
        <v>12775930059000</v>
      </c>
      <c r="F125" s="33">
        <f t="shared" si="1"/>
        <v>4.5464787089282546E-2</v>
      </c>
    </row>
    <row r="126" spans="1:6" ht="15.75" x14ac:dyDescent="0.25">
      <c r="A126" s="67"/>
      <c r="B126" s="67"/>
      <c r="C126" s="31">
        <v>2021</v>
      </c>
      <c r="D126" s="32">
        <v>1526870874000</v>
      </c>
      <c r="E126" s="32">
        <v>10705331418000</v>
      </c>
      <c r="F126" s="33">
        <f t="shared" si="1"/>
        <v>0.14262714664141191</v>
      </c>
    </row>
    <row r="127" spans="1:6" ht="15.75" x14ac:dyDescent="0.25">
      <c r="A127" s="67"/>
      <c r="B127" s="67"/>
      <c r="C127" s="31">
        <v>2022</v>
      </c>
      <c r="D127" s="32">
        <v>1848118978000</v>
      </c>
      <c r="E127" s="32">
        <v>11136909800000</v>
      </c>
      <c r="F127" s="33">
        <f t="shared" si="1"/>
        <v>0.16594540237723754</v>
      </c>
    </row>
    <row r="128" spans="1:6" ht="15.75" x14ac:dyDescent="0.25">
      <c r="A128" s="67"/>
      <c r="B128" s="67"/>
      <c r="C128" s="31">
        <v>2023</v>
      </c>
      <c r="D128" s="32">
        <v>518314064000</v>
      </c>
      <c r="E128" s="32">
        <v>11810444633000</v>
      </c>
      <c r="F128" s="33">
        <f t="shared" si="1"/>
        <v>4.3886075427825938E-2</v>
      </c>
    </row>
    <row r="129" spans="1:6" ht="15.75" x14ac:dyDescent="0.25">
      <c r="A129" s="67"/>
      <c r="B129" s="67"/>
      <c r="C129" s="34">
        <v>2024</v>
      </c>
      <c r="D129" s="32">
        <v>844691385000</v>
      </c>
      <c r="E129" s="32">
        <v>11764842337000</v>
      </c>
      <c r="F129" s="33">
        <f t="shared" si="1"/>
        <v>7.1797934966240595E-2</v>
      </c>
    </row>
    <row r="130" spans="1:6" ht="15.75" x14ac:dyDescent="0.25">
      <c r="A130" s="66">
        <v>26</v>
      </c>
      <c r="B130" s="68" t="s">
        <v>178</v>
      </c>
      <c r="C130" s="31">
        <v>2020</v>
      </c>
      <c r="D130" s="32">
        <v>628628879549</v>
      </c>
      <c r="E130" s="32">
        <v>3448995059882</v>
      </c>
      <c r="F130" s="33">
        <f t="shared" si="1"/>
        <v>0.18226436067162916</v>
      </c>
    </row>
    <row r="131" spans="1:6" ht="15.75" x14ac:dyDescent="0.25">
      <c r="A131" s="67"/>
      <c r="B131" s="67"/>
      <c r="C131" s="31">
        <v>2021</v>
      </c>
      <c r="D131" s="32">
        <v>617573766863</v>
      </c>
      <c r="E131" s="32">
        <v>3919243683748</v>
      </c>
      <c r="F131" s="33">
        <f t="shared" si="1"/>
        <v>0.15757473040625275</v>
      </c>
    </row>
    <row r="132" spans="1:6" ht="15.75" x14ac:dyDescent="0.25">
      <c r="A132" s="67"/>
      <c r="B132" s="67"/>
      <c r="C132" s="31">
        <v>2022</v>
      </c>
      <c r="D132" s="32">
        <v>624524005786</v>
      </c>
      <c r="E132" s="32">
        <v>4590737849889</v>
      </c>
      <c r="F132" s="33">
        <f t="shared" si="1"/>
        <v>0.13604000624890844</v>
      </c>
    </row>
    <row r="133" spans="1:6" ht="15.75" x14ac:dyDescent="0.25">
      <c r="A133" s="67"/>
      <c r="B133" s="67"/>
      <c r="C133" s="31">
        <v>2023</v>
      </c>
      <c r="D133" s="32">
        <v>917794022711</v>
      </c>
      <c r="E133" s="32">
        <v>5482234635262</v>
      </c>
      <c r="F133" s="33">
        <f t="shared" si="1"/>
        <v>0.16741239362644281</v>
      </c>
    </row>
    <row r="134" spans="1:6" ht="15.75" x14ac:dyDescent="0.25">
      <c r="A134" s="67"/>
      <c r="B134" s="67"/>
      <c r="C134" s="34">
        <v>2024</v>
      </c>
      <c r="D134" s="32">
        <v>1314430773948</v>
      </c>
      <c r="E134" s="32">
        <v>6762107188564</v>
      </c>
      <c r="F134" s="33">
        <f t="shared" ref="F134:F197" si="2">D134/E134</f>
        <v>0.19438183058839273</v>
      </c>
    </row>
    <row r="135" spans="1:6" ht="15.75" x14ac:dyDescent="0.25">
      <c r="A135" s="66">
        <v>27</v>
      </c>
      <c r="B135" s="68" t="s">
        <v>179</v>
      </c>
      <c r="C135" s="31">
        <v>2020</v>
      </c>
      <c r="D135" s="32">
        <v>680730000000</v>
      </c>
      <c r="E135" s="32">
        <v>19431293000000</v>
      </c>
      <c r="F135" s="33">
        <f t="shared" si="2"/>
        <v>3.5032666122630132E-2</v>
      </c>
    </row>
    <row r="136" spans="1:6" ht="15.75" x14ac:dyDescent="0.25">
      <c r="A136" s="67"/>
      <c r="B136" s="67"/>
      <c r="C136" s="31">
        <v>2021</v>
      </c>
      <c r="D136" s="32">
        <v>791916000000</v>
      </c>
      <c r="E136" s="32">
        <v>21084017000000</v>
      </c>
      <c r="F136" s="33">
        <f t="shared" si="2"/>
        <v>3.7560015247568808E-2</v>
      </c>
    </row>
    <row r="137" spans="1:6" ht="15.75" x14ac:dyDescent="0.25">
      <c r="A137" s="67"/>
      <c r="B137" s="67"/>
      <c r="C137" s="31">
        <v>2022</v>
      </c>
      <c r="D137" s="32">
        <v>801440000000</v>
      </c>
      <c r="E137" s="32">
        <v>23673644000000</v>
      </c>
      <c r="F137" s="33">
        <f t="shared" si="2"/>
        <v>3.3853681334398707E-2</v>
      </c>
    </row>
    <row r="138" spans="1:6" ht="15.75" x14ac:dyDescent="0.25">
      <c r="A138" s="67"/>
      <c r="B138" s="67"/>
      <c r="C138" s="31">
        <v>2023</v>
      </c>
      <c r="D138" s="32">
        <v>612218000000</v>
      </c>
      <c r="E138" s="32">
        <v>25883325000000</v>
      </c>
      <c r="F138" s="33">
        <f t="shared" si="2"/>
        <v>2.3652988941722131E-2</v>
      </c>
    </row>
    <row r="139" spans="1:6" ht="15.75" x14ac:dyDescent="0.25">
      <c r="A139" s="67"/>
      <c r="B139" s="67"/>
      <c r="C139" s="34">
        <v>2024</v>
      </c>
      <c r="D139" s="32">
        <v>701020000000</v>
      </c>
      <c r="E139" s="32">
        <v>27763549000000</v>
      </c>
      <c r="F139" s="33">
        <f t="shared" si="2"/>
        <v>2.5249653781654498E-2</v>
      </c>
    </row>
    <row r="140" spans="1:6" ht="15.75" x14ac:dyDescent="0.25">
      <c r="A140" s="66">
        <v>28</v>
      </c>
      <c r="B140" s="68" t="s">
        <v>180</v>
      </c>
      <c r="C140" s="31">
        <v>2020</v>
      </c>
      <c r="D140" s="32">
        <v>478561152411</v>
      </c>
      <c r="E140" s="32">
        <v>3361956197960</v>
      </c>
      <c r="F140" s="33">
        <f t="shared" si="2"/>
        <v>0.1423460402908836</v>
      </c>
    </row>
    <row r="141" spans="1:6" ht="15.75" x14ac:dyDescent="0.25">
      <c r="A141" s="67"/>
      <c r="B141" s="67"/>
      <c r="C141" s="31">
        <v>2021</v>
      </c>
      <c r="D141" s="32">
        <v>481109483989</v>
      </c>
      <c r="E141" s="32">
        <v>3403961007490</v>
      </c>
      <c r="F141" s="33">
        <f t="shared" si="2"/>
        <v>0.14133813017551536</v>
      </c>
    </row>
    <row r="142" spans="1:6" ht="15.75" x14ac:dyDescent="0.25">
      <c r="A142" s="67"/>
      <c r="B142" s="67"/>
      <c r="C142" s="31">
        <v>2022</v>
      </c>
      <c r="D142" s="32">
        <v>478266312889</v>
      </c>
      <c r="E142" s="32">
        <v>4181760862637</v>
      </c>
      <c r="F142" s="33">
        <f t="shared" si="2"/>
        <v>0.1143695989797483</v>
      </c>
    </row>
    <row r="143" spans="1:6" ht="15.75" x14ac:dyDescent="0.25">
      <c r="A143" s="67"/>
      <c r="B143" s="67"/>
      <c r="C143" s="31">
        <v>2023</v>
      </c>
      <c r="D143" s="32">
        <v>441099000000</v>
      </c>
      <c r="E143" s="32">
        <v>4566006000000</v>
      </c>
      <c r="F143" s="33">
        <f t="shared" si="2"/>
        <v>9.6604997890935754E-2</v>
      </c>
    </row>
    <row r="144" spans="1:6" ht="15.75" x14ac:dyDescent="0.25">
      <c r="A144" s="67"/>
      <c r="B144" s="67"/>
      <c r="C144" s="34">
        <v>2024</v>
      </c>
      <c r="D144" s="32">
        <v>402417000000</v>
      </c>
      <c r="E144" s="32">
        <v>4676250000000</v>
      </c>
      <c r="F144" s="33">
        <f t="shared" si="2"/>
        <v>8.6055493183640738E-2</v>
      </c>
    </row>
    <row r="145" spans="1:6" ht="15.75" x14ac:dyDescent="0.25">
      <c r="A145" s="66">
        <v>29</v>
      </c>
      <c r="B145" s="68" t="s">
        <v>181</v>
      </c>
      <c r="C145" s="31">
        <v>2020</v>
      </c>
      <c r="D145" s="32">
        <v>1109666000000</v>
      </c>
      <c r="E145" s="32">
        <v>8754116000000</v>
      </c>
      <c r="F145" s="33">
        <f t="shared" si="2"/>
        <v>0.12675934383323229</v>
      </c>
    </row>
    <row r="146" spans="1:6" ht="15.75" x14ac:dyDescent="0.25">
      <c r="A146" s="67"/>
      <c r="B146" s="67"/>
      <c r="C146" s="31">
        <v>2021</v>
      </c>
      <c r="D146" s="32">
        <v>1276793000000</v>
      </c>
      <c r="E146" s="32">
        <v>7406856000000</v>
      </c>
      <c r="F146" s="33">
        <f t="shared" si="2"/>
        <v>0.1723798869587852</v>
      </c>
    </row>
    <row r="147" spans="1:6" ht="15.75" x14ac:dyDescent="0.25">
      <c r="A147" s="67"/>
      <c r="B147" s="67"/>
      <c r="C147" s="31">
        <v>2022</v>
      </c>
      <c r="D147" s="32">
        <v>965486000000</v>
      </c>
      <c r="E147" s="32">
        <v>7376375000000</v>
      </c>
      <c r="F147" s="33">
        <f t="shared" si="2"/>
        <v>0.13088895290708513</v>
      </c>
    </row>
    <row r="148" spans="1:6" ht="15.75" x14ac:dyDescent="0.25">
      <c r="A148" s="67"/>
      <c r="B148" s="67"/>
      <c r="C148" s="31">
        <v>2023</v>
      </c>
      <c r="D148" s="32">
        <v>1186161000000</v>
      </c>
      <c r="E148" s="32">
        <v>7523956000000</v>
      </c>
      <c r="F148" s="33">
        <f t="shared" si="2"/>
        <v>0.15765124091634772</v>
      </c>
    </row>
    <row r="149" spans="1:6" ht="15.75" x14ac:dyDescent="0.25">
      <c r="A149" s="67"/>
      <c r="B149" s="67"/>
      <c r="C149" s="34">
        <v>2024</v>
      </c>
      <c r="D149" s="32">
        <v>1153916000000</v>
      </c>
      <c r="E149" s="32">
        <v>8461365000000</v>
      </c>
      <c r="F149" s="33">
        <f t="shared" si="2"/>
        <v>0.13637468659016599</v>
      </c>
    </row>
    <row r="150" spans="1:6" ht="15.75" x14ac:dyDescent="0.25">
      <c r="A150" s="66">
        <v>30</v>
      </c>
      <c r="B150" s="68" t="s">
        <v>182</v>
      </c>
      <c r="C150" s="31">
        <v>2020</v>
      </c>
      <c r="D150" s="32">
        <v>7163536000000</v>
      </c>
      <c r="E150" s="32">
        <v>20534632000000</v>
      </c>
      <c r="F150" s="33">
        <f t="shared" si="2"/>
        <v>0.34885144277238567</v>
      </c>
    </row>
    <row r="151" spans="1:6" ht="15.75" x14ac:dyDescent="0.25">
      <c r="A151" s="67"/>
      <c r="B151" s="67"/>
      <c r="C151" s="31">
        <v>2021</v>
      </c>
      <c r="D151" s="32">
        <v>5758148000000</v>
      </c>
      <c r="E151" s="32">
        <v>19068532000000</v>
      </c>
      <c r="F151" s="33">
        <f t="shared" si="2"/>
        <v>0.30197122673103521</v>
      </c>
    </row>
    <row r="152" spans="1:6" ht="15.75" x14ac:dyDescent="0.25">
      <c r="A152" s="67"/>
      <c r="B152" s="67"/>
      <c r="C152" s="31">
        <v>2022</v>
      </c>
      <c r="D152" s="32">
        <v>5364761000000</v>
      </c>
      <c r="E152" s="32">
        <v>18318114000000</v>
      </c>
      <c r="F152" s="33">
        <f t="shared" si="2"/>
        <v>0.29286644902417358</v>
      </c>
    </row>
    <row r="153" spans="1:6" ht="15.75" x14ac:dyDescent="0.25">
      <c r="A153" s="67"/>
      <c r="B153" s="67"/>
      <c r="C153" s="31">
        <v>2023</v>
      </c>
      <c r="D153" s="32">
        <v>4800940000000</v>
      </c>
      <c r="E153" s="32">
        <v>16664086000000</v>
      </c>
      <c r="F153" s="33">
        <f t="shared" si="2"/>
        <v>0.28810100956032031</v>
      </c>
    </row>
    <row r="154" spans="1:6" ht="15.75" x14ac:dyDescent="0.25">
      <c r="A154" s="67"/>
      <c r="B154" s="67"/>
      <c r="C154" s="34">
        <v>2024</v>
      </c>
      <c r="D154" s="32">
        <v>3368693000000</v>
      </c>
      <c r="E154" s="32">
        <v>16046195000000</v>
      </c>
      <c r="F154" s="33">
        <f t="shared" si="2"/>
        <v>0.20993718448516924</v>
      </c>
    </row>
    <row r="155" spans="1:6" ht="15.75" x14ac:dyDescent="0.25">
      <c r="A155" s="66">
        <v>31</v>
      </c>
      <c r="B155" s="68" t="s">
        <v>183</v>
      </c>
      <c r="C155" s="31">
        <v>2020</v>
      </c>
      <c r="D155" s="32">
        <v>172506562986</v>
      </c>
      <c r="E155" s="32">
        <v>1614442007528</v>
      </c>
      <c r="F155" s="33">
        <f t="shared" si="2"/>
        <v>0.10685212734902659</v>
      </c>
    </row>
    <row r="156" spans="1:6" ht="15.75" x14ac:dyDescent="0.25">
      <c r="A156" s="67"/>
      <c r="B156" s="67"/>
      <c r="C156" s="31">
        <v>2021</v>
      </c>
      <c r="D156" s="32">
        <v>176877010231</v>
      </c>
      <c r="E156" s="32">
        <v>1891169731202</v>
      </c>
      <c r="F156" s="33">
        <f t="shared" si="2"/>
        <v>9.3527834817121111E-2</v>
      </c>
    </row>
    <row r="157" spans="1:6" ht="15.75" x14ac:dyDescent="0.25">
      <c r="A157" s="67"/>
      <c r="B157" s="67"/>
      <c r="C157" s="31">
        <v>2022</v>
      </c>
      <c r="D157" s="32">
        <v>249644129079</v>
      </c>
      <c r="E157" s="32">
        <v>2168793843296</v>
      </c>
      <c r="F157" s="33">
        <f t="shared" si="2"/>
        <v>0.11510735787575187</v>
      </c>
    </row>
    <row r="158" spans="1:6" ht="15.75" x14ac:dyDescent="0.25">
      <c r="A158" s="67"/>
      <c r="B158" s="67"/>
      <c r="C158" s="31">
        <v>2023</v>
      </c>
      <c r="D158" s="32">
        <v>494729174306</v>
      </c>
      <c r="E158" s="32">
        <v>2575756967645</v>
      </c>
      <c r="F158" s="33">
        <f t="shared" si="2"/>
        <v>0.19207137184154766</v>
      </c>
    </row>
    <row r="159" spans="1:6" ht="15.75" x14ac:dyDescent="0.25">
      <c r="A159" s="67"/>
      <c r="B159" s="67"/>
      <c r="C159" s="34">
        <v>2024</v>
      </c>
      <c r="D159" s="35">
        <v>298713465870</v>
      </c>
      <c r="E159" s="32">
        <v>3026895275668</v>
      </c>
      <c r="F159" s="33">
        <f t="shared" si="2"/>
        <v>9.8686422444555E-2</v>
      </c>
    </row>
    <row r="160" spans="1:6" ht="15.75" x14ac:dyDescent="0.25">
      <c r="A160" s="66">
        <v>32</v>
      </c>
      <c r="B160" s="68" t="s">
        <v>184</v>
      </c>
      <c r="C160" s="31">
        <v>2020</v>
      </c>
      <c r="D160" s="32">
        <v>132772234495</v>
      </c>
      <c r="E160" s="32">
        <v>1310940121622</v>
      </c>
      <c r="F160" s="33">
        <f t="shared" si="2"/>
        <v>0.10128016703823479</v>
      </c>
    </row>
    <row r="161" spans="1:6" ht="15.75" x14ac:dyDescent="0.25">
      <c r="A161" s="67"/>
      <c r="B161" s="67"/>
      <c r="C161" s="31">
        <v>2021</v>
      </c>
      <c r="D161" s="32">
        <v>180711667020</v>
      </c>
      <c r="E161" s="32">
        <v>1348181576913</v>
      </c>
      <c r="F161" s="33">
        <f t="shared" si="2"/>
        <v>0.13404104470392239</v>
      </c>
    </row>
    <row r="162" spans="1:6" ht="15.75" x14ac:dyDescent="0.25">
      <c r="A162" s="67"/>
      <c r="B162" s="67"/>
      <c r="C162" s="31">
        <v>2022</v>
      </c>
      <c r="D162" s="32">
        <v>192484018135</v>
      </c>
      <c r="E162" s="32">
        <v>1693523611414</v>
      </c>
      <c r="F162" s="33">
        <f t="shared" si="2"/>
        <v>0.11365889252307874</v>
      </c>
    </row>
    <row r="163" spans="1:6" ht="15.75" x14ac:dyDescent="0.25">
      <c r="A163" s="67"/>
      <c r="B163" s="67"/>
      <c r="C163" s="31">
        <v>2023</v>
      </c>
      <c r="D163" s="32">
        <v>305879961825</v>
      </c>
      <c r="E163" s="32">
        <v>2296227711688</v>
      </c>
      <c r="F163" s="33">
        <f t="shared" si="2"/>
        <v>0.1332097684685383</v>
      </c>
    </row>
    <row r="164" spans="1:6" ht="15.75" x14ac:dyDescent="0.25">
      <c r="A164" s="67"/>
      <c r="B164" s="67"/>
      <c r="C164" s="34">
        <v>2024</v>
      </c>
      <c r="D164" s="32">
        <v>474019249853</v>
      </c>
      <c r="E164" s="32">
        <v>2663387006912</v>
      </c>
      <c r="F164" s="33">
        <f t="shared" si="2"/>
        <v>0.17797610659766272</v>
      </c>
    </row>
    <row r="165" spans="1:6" ht="15.75" x14ac:dyDescent="0.25">
      <c r="A165" s="66">
        <v>33</v>
      </c>
      <c r="B165" s="68" t="s">
        <v>185</v>
      </c>
      <c r="C165" s="31">
        <v>2020</v>
      </c>
      <c r="D165" s="32">
        <v>44045828312</v>
      </c>
      <c r="E165" s="32">
        <v>1086873666641</v>
      </c>
      <c r="F165" s="33">
        <f t="shared" si="2"/>
        <v>4.0525251152808146E-2</v>
      </c>
    </row>
    <row r="166" spans="1:6" ht="15.75" x14ac:dyDescent="0.25">
      <c r="A166" s="67"/>
      <c r="B166" s="67"/>
      <c r="C166" s="31">
        <v>2021</v>
      </c>
      <c r="D166" s="32">
        <v>99278807290</v>
      </c>
      <c r="E166" s="32">
        <v>1147260611703</v>
      </c>
      <c r="F166" s="33">
        <f t="shared" si="2"/>
        <v>8.653553192472109E-2</v>
      </c>
    </row>
    <row r="167" spans="1:6" ht="15.75" x14ac:dyDescent="0.25">
      <c r="A167" s="67"/>
      <c r="B167" s="67"/>
      <c r="C167" s="31">
        <v>2022</v>
      </c>
      <c r="D167" s="32">
        <v>121257336904</v>
      </c>
      <c r="E167" s="32">
        <v>1074777460412</v>
      </c>
      <c r="F167" s="33">
        <f t="shared" si="2"/>
        <v>0.11282087815417882</v>
      </c>
    </row>
    <row r="168" spans="1:6" ht="15.75" x14ac:dyDescent="0.25">
      <c r="A168" s="67"/>
      <c r="B168" s="67"/>
      <c r="C168" s="31">
        <v>2023</v>
      </c>
      <c r="D168" s="32">
        <v>127426464539</v>
      </c>
      <c r="E168" s="32">
        <v>1088726193209</v>
      </c>
      <c r="F168" s="33">
        <f t="shared" si="2"/>
        <v>0.11704179189756875</v>
      </c>
    </row>
    <row r="169" spans="1:6" ht="15.75" x14ac:dyDescent="0.25">
      <c r="A169" s="67"/>
      <c r="B169" s="67"/>
      <c r="C169" s="34">
        <v>2024</v>
      </c>
      <c r="D169" s="32">
        <v>97110136525</v>
      </c>
      <c r="E169" s="32">
        <v>1083173624832</v>
      </c>
      <c r="F169" s="33">
        <f t="shared" si="2"/>
        <v>8.9653343008662859E-2</v>
      </c>
    </row>
    <row r="170" spans="1:6" ht="15.75" x14ac:dyDescent="0.25">
      <c r="A170" s="66">
        <v>34</v>
      </c>
      <c r="B170" s="69" t="s">
        <v>186</v>
      </c>
      <c r="C170" s="31">
        <v>2020</v>
      </c>
      <c r="D170" s="32">
        <v>245103761907</v>
      </c>
      <c r="E170" s="32">
        <v>6670943518686</v>
      </c>
      <c r="F170" s="33">
        <f t="shared" si="2"/>
        <v>3.6741993275829589E-2</v>
      </c>
    </row>
    <row r="171" spans="1:6" ht="15.75" x14ac:dyDescent="0.25">
      <c r="A171" s="67"/>
      <c r="B171" s="70"/>
      <c r="C171" s="31">
        <v>2021</v>
      </c>
      <c r="D171" s="32">
        <v>492637672186</v>
      </c>
      <c r="E171" s="32">
        <v>6766602280143</v>
      </c>
      <c r="F171" s="33">
        <f t="shared" si="2"/>
        <v>7.2804289625780838E-2</v>
      </c>
    </row>
    <row r="172" spans="1:6" ht="15.75" x14ac:dyDescent="0.25">
      <c r="A172" s="67"/>
      <c r="B172" s="70"/>
      <c r="C172" s="31">
        <v>2022</v>
      </c>
      <c r="D172" s="32">
        <v>521714035585</v>
      </c>
      <c r="E172" s="32">
        <v>7327371934290</v>
      </c>
      <c r="F172" s="33">
        <f t="shared" si="2"/>
        <v>7.1200703371358545E-2</v>
      </c>
    </row>
    <row r="173" spans="1:6" ht="15.75" x14ac:dyDescent="0.25">
      <c r="A173" s="67"/>
      <c r="B173" s="70"/>
      <c r="C173" s="31">
        <v>2023</v>
      </c>
      <c r="D173" s="32">
        <v>601467293291</v>
      </c>
      <c r="E173" s="32">
        <v>7427707902688</v>
      </c>
      <c r="F173" s="33">
        <f t="shared" si="2"/>
        <v>8.0976164002536516E-2</v>
      </c>
    </row>
    <row r="174" spans="1:6" ht="15.75" x14ac:dyDescent="0.25">
      <c r="A174" s="67"/>
      <c r="B174" s="70"/>
      <c r="C174" s="34">
        <v>2024</v>
      </c>
      <c r="D174" s="32">
        <v>687194544484</v>
      </c>
      <c r="E174" s="32">
        <v>8431726766692</v>
      </c>
      <c r="F174" s="33">
        <f t="shared" si="2"/>
        <v>8.1501045218713306E-2</v>
      </c>
    </row>
    <row r="175" spans="1:6" ht="15.75" x14ac:dyDescent="0.25">
      <c r="A175" s="66">
        <v>35</v>
      </c>
      <c r="B175" s="68" t="s">
        <v>189</v>
      </c>
      <c r="C175" s="31">
        <v>2020</v>
      </c>
      <c r="D175" s="32">
        <v>6120040212</v>
      </c>
      <c r="E175" s="32">
        <v>505077168839</v>
      </c>
      <c r="F175" s="33">
        <f t="shared" si="2"/>
        <v>1.2117039909105143E-2</v>
      </c>
    </row>
    <row r="176" spans="1:6" ht="15.75" x14ac:dyDescent="0.25">
      <c r="A176" s="67"/>
      <c r="B176" s="67"/>
      <c r="C176" s="31">
        <v>2021</v>
      </c>
      <c r="D176" s="32">
        <v>18368616642</v>
      </c>
      <c r="E176" s="32">
        <v>526704173504</v>
      </c>
      <c r="F176" s="33">
        <f t="shared" si="2"/>
        <v>3.4874636591161357E-2</v>
      </c>
    </row>
    <row r="177" spans="1:6" ht="15.75" x14ac:dyDescent="0.25">
      <c r="A177" s="67"/>
      <c r="B177" s="67"/>
      <c r="C177" s="31">
        <v>2022</v>
      </c>
      <c r="D177" s="32">
        <v>23952323176</v>
      </c>
      <c r="E177" s="32">
        <v>553207312282</v>
      </c>
      <c r="F177" s="33">
        <f t="shared" si="2"/>
        <v>4.3297191928276954E-2</v>
      </c>
    </row>
    <row r="178" spans="1:6" ht="15.75" x14ac:dyDescent="0.25">
      <c r="A178" s="67"/>
      <c r="B178" s="67"/>
      <c r="C178" s="31">
        <v>2023</v>
      </c>
      <c r="D178" s="32">
        <v>26963627275</v>
      </c>
      <c r="E178" s="32">
        <v>560353325935</v>
      </c>
      <c r="F178" s="33">
        <f t="shared" si="2"/>
        <v>4.8118974273970369E-2</v>
      </c>
    </row>
    <row r="179" spans="1:6" ht="15.75" x14ac:dyDescent="0.25">
      <c r="A179" s="67"/>
      <c r="B179" s="67"/>
      <c r="C179" s="34">
        <v>2024</v>
      </c>
      <c r="D179" s="32">
        <v>21241244212</v>
      </c>
      <c r="E179" s="32">
        <v>637383120724</v>
      </c>
      <c r="F179" s="33">
        <f t="shared" si="2"/>
        <v>3.3325708700713927E-2</v>
      </c>
    </row>
    <row r="180" spans="1:6" ht="15" customHeight="1" x14ac:dyDescent="0.25">
      <c r="A180" s="66">
        <v>36</v>
      </c>
      <c r="B180" s="68" t="s">
        <v>187</v>
      </c>
      <c r="C180" s="31">
        <v>2020</v>
      </c>
      <c r="D180" s="32">
        <v>121000016429</v>
      </c>
      <c r="E180" s="32">
        <v>674806910037</v>
      </c>
      <c r="F180" s="33">
        <f t="shared" si="2"/>
        <v>0.17931057703953493</v>
      </c>
    </row>
    <row r="181" spans="1:6" ht="15" customHeight="1" x14ac:dyDescent="0.25">
      <c r="A181" s="67"/>
      <c r="B181" s="67"/>
      <c r="C181" s="31">
        <v>2021</v>
      </c>
      <c r="D181" s="32">
        <v>144700268968</v>
      </c>
      <c r="E181" s="32">
        <v>767726284113</v>
      </c>
      <c r="F181" s="33">
        <f t="shared" si="2"/>
        <v>0.18847898263009305</v>
      </c>
    </row>
    <row r="182" spans="1:6" ht="15" customHeight="1" x14ac:dyDescent="0.25">
      <c r="A182" s="67"/>
      <c r="B182" s="67"/>
      <c r="C182" s="31">
        <v>2022</v>
      </c>
      <c r="D182" s="32">
        <v>117370750383</v>
      </c>
      <c r="E182" s="32">
        <v>860100358989</v>
      </c>
      <c r="F182" s="33">
        <f t="shared" si="2"/>
        <v>0.13646169212272249</v>
      </c>
    </row>
    <row r="183" spans="1:6" ht="15" customHeight="1" x14ac:dyDescent="0.25">
      <c r="A183" s="67"/>
      <c r="B183" s="67"/>
      <c r="C183" s="31">
        <v>2023</v>
      </c>
      <c r="D183" s="32">
        <v>80342415257</v>
      </c>
      <c r="E183" s="32">
        <v>828378354007</v>
      </c>
      <c r="F183" s="33">
        <f t="shared" si="2"/>
        <v>9.6987584077216346E-2</v>
      </c>
    </row>
    <row r="184" spans="1:6" ht="15" customHeight="1" x14ac:dyDescent="0.25">
      <c r="A184" s="67"/>
      <c r="B184" s="67"/>
      <c r="C184" s="34">
        <v>2024</v>
      </c>
      <c r="D184" s="32">
        <v>146880537264</v>
      </c>
      <c r="E184" s="32">
        <v>974057856516</v>
      </c>
      <c r="F184" s="33">
        <f t="shared" si="2"/>
        <v>0.15079241574967711</v>
      </c>
    </row>
    <row r="185" spans="1:6" ht="15.75" x14ac:dyDescent="0.25">
      <c r="A185" s="66">
        <v>37</v>
      </c>
      <c r="B185" s="68" t="s">
        <v>188</v>
      </c>
      <c r="C185" s="31">
        <v>2020</v>
      </c>
      <c r="D185" s="32">
        <v>311682000000</v>
      </c>
      <c r="E185" s="32">
        <v>7644451000000</v>
      </c>
      <c r="F185" s="33">
        <f t="shared" si="2"/>
        <v>4.0772319686528176E-2</v>
      </c>
    </row>
    <row r="186" spans="1:6" ht="15.75" x14ac:dyDescent="0.25">
      <c r="A186" s="67"/>
      <c r="B186" s="67"/>
      <c r="C186" s="31">
        <v>2021</v>
      </c>
      <c r="D186" s="32">
        <v>480060000000</v>
      </c>
      <c r="E186" s="32">
        <v>7787513000000</v>
      </c>
      <c r="F186" s="33">
        <f t="shared" si="2"/>
        <v>6.1644840913909225E-2</v>
      </c>
    </row>
    <row r="187" spans="1:6" ht="15.75" x14ac:dyDescent="0.25">
      <c r="A187" s="67"/>
      <c r="B187" s="67"/>
      <c r="C187" s="31">
        <v>2022</v>
      </c>
      <c r="D187" s="32">
        <v>313648000000</v>
      </c>
      <c r="E187" s="32">
        <v>8382538000000</v>
      </c>
      <c r="F187" s="33">
        <f t="shared" si="2"/>
        <v>3.7416830081772372E-2</v>
      </c>
    </row>
    <row r="188" spans="1:6" ht="15.75" x14ac:dyDescent="0.25">
      <c r="A188" s="67"/>
      <c r="B188" s="67"/>
      <c r="C188" s="31">
        <v>2023</v>
      </c>
      <c r="D188" s="32">
        <v>434532000000</v>
      </c>
      <c r="E188" s="32">
        <v>8487854000000</v>
      </c>
      <c r="F188" s="33">
        <f t="shared" si="2"/>
        <v>5.1194565787771561E-2</v>
      </c>
    </row>
    <row r="189" spans="1:6" ht="15.75" x14ac:dyDescent="0.25">
      <c r="A189" s="67"/>
      <c r="B189" s="67"/>
      <c r="C189" s="34">
        <v>2024</v>
      </c>
      <c r="D189" s="32">
        <v>350441000000</v>
      </c>
      <c r="E189" s="32">
        <v>86583450000000</v>
      </c>
      <c r="F189" s="33">
        <f t="shared" si="2"/>
        <v>4.0474363172176668E-3</v>
      </c>
    </row>
    <row r="190" spans="1:6" ht="15.75" x14ac:dyDescent="0.25">
      <c r="A190" s="66">
        <v>38</v>
      </c>
      <c r="B190" s="68" t="s">
        <v>190</v>
      </c>
      <c r="C190" s="31">
        <v>2020</v>
      </c>
      <c r="D190" s="32">
        <v>72366649338</v>
      </c>
      <c r="E190" s="32">
        <v>1398568521297</v>
      </c>
      <c r="F190" s="33">
        <f t="shared" si="2"/>
        <v>5.1743370622190789E-2</v>
      </c>
    </row>
    <row r="191" spans="1:6" ht="15.75" x14ac:dyDescent="0.25">
      <c r="A191" s="67"/>
      <c r="B191" s="67"/>
      <c r="C191" s="31">
        <v>2021</v>
      </c>
      <c r="D191" s="32">
        <v>259650288797</v>
      </c>
      <c r="E191" s="32">
        <v>1753240850009</v>
      </c>
      <c r="F191" s="33">
        <f t="shared" si="2"/>
        <v>0.14809733003635361</v>
      </c>
    </row>
    <row r="192" spans="1:6" ht="15.75" x14ac:dyDescent="0.25">
      <c r="A192" s="67"/>
      <c r="B192" s="67"/>
      <c r="C192" s="31">
        <v>2022</v>
      </c>
      <c r="D192" s="32">
        <v>252406668731</v>
      </c>
      <c r="E192" s="32">
        <v>1835253997038</v>
      </c>
      <c r="F192" s="33">
        <f t="shared" si="2"/>
        <v>0.13753228116564281</v>
      </c>
    </row>
    <row r="193" spans="1:6" ht="15.75" x14ac:dyDescent="0.25">
      <c r="A193" s="67"/>
      <c r="B193" s="67"/>
      <c r="C193" s="31">
        <v>2023</v>
      </c>
      <c r="D193" s="32">
        <v>146138989067</v>
      </c>
      <c r="E193" s="32">
        <v>1842857630843</v>
      </c>
      <c r="F193" s="33">
        <f t="shared" si="2"/>
        <v>7.9300205626926218E-2</v>
      </c>
    </row>
    <row r="194" spans="1:6" ht="15.75" x14ac:dyDescent="0.25">
      <c r="A194" s="67"/>
      <c r="B194" s="67"/>
      <c r="C194" s="34">
        <v>2024</v>
      </c>
      <c r="D194" s="32">
        <v>214854888133</v>
      </c>
      <c r="E194" s="32">
        <v>2251264513082</v>
      </c>
      <c r="F194" s="33">
        <f t="shared" si="2"/>
        <v>9.5437425004697402E-2</v>
      </c>
    </row>
    <row r="195" spans="1:6" ht="15.75" x14ac:dyDescent="0.25">
      <c r="A195" s="66">
        <v>39</v>
      </c>
      <c r="B195" s="68" t="s">
        <v>191</v>
      </c>
      <c r="C195" s="31">
        <v>2020</v>
      </c>
      <c r="D195" s="32">
        <v>205589000000</v>
      </c>
      <c r="E195" s="32">
        <v>5680638000000</v>
      </c>
      <c r="F195" s="33">
        <f t="shared" si="2"/>
        <v>3.619118134265905E-2</v>
      </c>
    </row>
    <row r="196" spans="1:6" ht="15.75" x14ac:dyDescent="0.25">
      <c r="A196" s="67"/>
      <c r="B196" s="67"/>
      <c r="C196" s="31">
        <v>2021</v>
      </c>
      <c r="D196" s="32">
        <v>351470000000</v>
      </c>
      <c r="E196" s="32">
        <v>6297287000000</v>
      </c>
      <c r="F196" s="33">
        <f t="shared" si="2"/>
        <v>5.5812923882935621E-2</v>
      </c>
    </row>
    <row r="197" spans="1:6" ht="15.75" x14ac:dyDescent="0.25">
      <c r="A197" s="67"/>
      <c r="B197" s="67"/>
      <c r="C197" s="31">
        <v>2022</v>
      </c>
      <c r="D197" s="32">
        <v>382105000000</v>
      </c>
      <c r="E197" s="32">
        <v>6878297000000</v>
      </c>
      <c r="F197" s="33">
        <f t="shared" si="2"/>
        <v>5.5552268243142161E-2</v>
      </c>
    </row>
    <row r="198" spans="1:6" ht="15.75" x14ac:dyDescent="0.25">
      <c r="A198" s="67"/>
      <c r="B198" s="67"/>
      <c r="C198" s="31">
        <v>2023</v>
      </c>
      <c r="D198" s="32">
        <v>319078000000</v>
      </c>
      <c r="E198" s="32">
        <v>7166880000000</v>
      </c>
      <c r="F198" s="33">
        <f t="shared" ref="F198:F214" si="3">D198/E198</f>
        <v>4.4521186346080863E-2</v>
      </c>
    </row>
    <row r="199" spans="1:6" ht="15.75" x14ac:dyDescent="0.25">
      <c r="A199" s="67"/>
      <c r="B199" s="67"/>
      <c r="C199" s="34">
        <v>2024</v>
      </c>
      <c r="D199" s="32">
        <v>363732000000</v>
      </c>
      <c r="E199" s="32">
        <v>7454096000000</v>
      </c>
      <c r="F199" s="33">
        <f t="shared" si="3"/>
        <v>4.8796259130550503E-2</v>
      </c>
    </row>
    <row r="200" spans="1:6" ht="15.75" x14ac:dyDescent="0.25">
      <c r="A200" s="66">
        <v>40</v>
      </c>
      <c r="B200" s="68" t="s">
        <v>192</v>
      </c>
      <c r="C200" s="31">
        <v>2020</v>
      </c>
      <c r="D200" s="32">
        <v>81273727254</v>
      </c>
      <c r="E200" s="32">
        <v>1432341134265</v>
      </c>
      <c r="F200" s="33">
        <f t="shared" si="3"/>
        <v>5.6741878948903667E-2</v>
      </c>
    </row>
    <row r="201" spans="1:6" ht="15.75" x14ac:dyDescent="0.25">
      <c r="A201" s="67"/>
      <c r="B201" s="67"/>
      <c r="C201" s="31">
        <v>2021</v>
      </c>
      <c r="D201" s="32">
        <v>188054274782</v>
      </c>
      <c r="E201" s="32">
        <v>1498624511203</v>
      </c>
      <c r="F201" s="33">
        <f t="shared" si="3"/>
        <v>0.1254845849485286</v>
      </c>
    </row>
    <row r="202" spans="1:6" ht="15.75" x14ac:dyDescent="0.25">
      <c r="A202" s="67"/>
      <c r="B202" s="67"/>
      <c r="C202" s="31">
        <v>2022</v>
      </c>
      <c r="D202" s="32">
        <v>173391571265</v>
      </c>
      <c r="E202" s="32">
        <v>1550623971085</v>
      </c>
      <c r="F202" s="33">
        <f t="shared" si="3"/>
        <v>0.1118205151592457</v>
      </c>
    </row>
    <row r="203" spans="1:6" ht="15.75" x14ac:dyDescent="0.25">
      <c r="A203" s="67"/>
      <c r="B203" s="67"/>
      <c r="C203" s="31">
        <v>2023</v>
      </c>
      <c r="D203" s="32">
        <v>191664263794</v>
      </c>
      <c r="E203" s="32">
        <v>1489149097101</v>
      </c>
      <c r="F203" s="33">
        <f t="shared" si="3"/>
        <v>0.12870723567379672</v>
      </c>
    </row>
    <row r="204" spans="1:6" ht="15.75" x14ac:dyDescent="0.25">
      <c r="A204" s="67"/>
      <c r="B204" s="67"/>
      <c r="C204" s="34">
        <v>2024</v>
      </c>
      <c r="D204" s="32">
        <v>220955227350</v>
      </c>
      <c r="E204" s="32">
        <v>1763677465138</v>
      </c>
      <c r="F204" s="33">
        <f t="shared" si="3"/>
        <v>0.12528097212644901</v>
      </c>
    </row>
    <row r="205" spans="1:6" ht="15.75" x14ac:dyDescent="0.25">
      <c r="A205" s="66">
        <v>41</v>
      </c>
      <c r="B205" s="68" t="s">
        <v>193</v>
      </c>
      <c r="C205" s="31">
        <v>2020</v>
      </c>
      <c r="D205" s="32">
        <v>15746218605</v>
      </c>
      <c r="E205" s="32">
        <v>145488436584</v>
      </c>
      <c r="F205" s="33">
        <f t="shared" si="3"/>
        <v>0.1082300351472172</v>
      </c>
    </row>
    <row r="206" spans="1:6" ht="15.75" x14ac:dyDescent="0.25">
      <c r="A206" s="67"/>
      <c r="B206" s="67"/>
      <c r="C206" s="31">
        <v>2021</v>
      </c>
      <c r="D206" s="32">
        <v>33530231755</v>
      </c>
      <c r="E206" s="32">
        <v>218292763978</v>
      </c>
      <c r="F206" s="33">
        <f t="shared" si="3"/>
        <v>0.1536021219575526</v>
      </c>
    </row>
    <row r="207" spans="1:6" ht="15.75" x14ac:dyDescent="0.25">
      <c r="A207" s="67"/>
      <c r="B207" s="67"/>
      <c r="C207" s="31">
        <v>2022</v>
      </c>
      <c r="D207" s="32">
        <v>47993345719</v>
      </c>
      <c r="E207" s="32">
        <v>233321416964</v>
      </c>
      <c r="F207" s="33">
        <f t="shared" si="3"/>
        <v>0.20569627230750559</v>
      </c>
    </row>
    <row r="208" spans="1:6" ht="15.75" x14ac:dyDescent="0.25">
      <c r="A208" s="67"/>
      <c r="B208" s="67"/>
      <c r="C208" s="31">
        <v>2023</v>
      </c>
      <c r="D208" s="32">
        <v>51239892562</v>
      </c>
      <c r="E208" s="32">
        <v>245154391129</v>
      </c>
      <c r="F208" s="33">
        <f t="shared" si="3"/>
        <v>0.20901070678777939</v>
      </c>
    </row>
    <row r="209" spans="1:6" ht="15.75" x14ac:dyDescent="0.25">
      <c r="A209" s="67"/>
      <c r="B209" s="67"/>
      <c r="C209" s="34">
        <v>2024</v>
      </c>
      <c r="D209" s="32">
        <v>54881468649</v>
      </c>
      <c r="E209" s="32">
        <v>270081060022</v>
      </c>
      <c r="F209" s="33">
        <f t="shared" si="3"/>
        <v>0.20320369241934078</v>
      </c>
    </row>
    <row r="210" spans="1:6" ht="15.75" x14ac:dyDescent="0.25">
      <c r="A210" s="66">
        <v>42</v>
      </c>
      <c r="B210" s="68" t="s">
        <v>194</v>
      </c>
      <c r="C210" s="31">
        <v>2020</v>
      </c>
      <c r="D210" s="32">
        <v>148365915585</v>
      </c>
      <c r="E210" s="32">
        <v>959769030280</v>
      </c>
      <c r="F210" s="33">
        <f t="shared" si="3"/>
        <v>0.15458502087915485</v>
      </c>
    </row>
    <row r="211" spans="1:6" ht="15.75" x14ac:dyDescent="0.25">
      <c r="A211" s="67"/>
      <c r="B211" s="67"/>
      <c r="C211" s="31">
        <v>2021</v>
      </c>
      <c r="D211" s="32">
        <v>177275878389</v>
      </c>
      <c r="E211" s="32">
        <v>997797006411</v>
      </c>
      <c r="F211" s="33">
        <f t="shared" si="3"/>
        <v>0.17766727826399065</v>
      </c>
    </row>
    <row r="212" spans="1:6" ht="15.75" x14ac:dyDescent="0.25">
      <c r="A212" s="67"/>
      <c r="B212" s="67"/>
      <c r="C212" s="31">
        <v>2022</v>
      </c>
      <c r="D212" s="32">
        <v>97639053688</v>
      </c>
      <c r="E212" s="32">
        <v>1150904222886</v>
      </c>
      <c r="F212" s="33">
        <f t="shared" si="3"/>
        <v>8.4836819386378604E-2</v>
      </c>
    </row>
    <row r="213" spans="1:6" ht="15.75" x14ac:dyDescent="0.25">
      <c r="A213" s="67"/>
      <c r="B213" s="67"/>
      <c r="C213" s="31">
        <v>2023</v>
      </c>
      <c r="D213" s="32">
        <v>178455165962</v>
      </c>
      <c r="E213" s="32">
        <v>1148235338153</v>
      </c>
      <c r="F213" s="33">
        <f t="shared" si="3"/>
        <v>0.15541689062544878</v>
      </c>
    </row>
    <row r="214" spans="1:6" ht="15.75" x14ac:dyDescent="0.25">
      <c r="A214" s="67"/>
      <c r="B214" s="67"/>
      <c r="C214" s="34">
        <v>2024</v>
      </c>
      <c r="D214" s="32">
        <v>175945630508</v>
      </c>
      <c r="E214" s="32">
        <v>1284957443404</v>
      </c>
      <c r="F214" s="33">
        <f t="shared" si="3"/>
        <v>0.13692720440756373</v>
      </c>
    </row>
  </sheetData>
  <mergeCells count="85">
    <mergeCell ref="B2:D2"/>
    <mergeCell ref="A205:A209"/>
    <mergeCell ref="B205:B209"/>
    <mergeCell ref="A210:A214"/>
    <mergeCell ref="B210:B214"/>
    <mergeCell ref="A190:A194"/>
    <mergeCell ref="B190:B194"/>
    <mergeCell ref="A195:A199"/>
    <mergeCell ref="B195:B199"/>
    <mergeCell ref="A200:A204"/>
    <mergeCell ref="B200:B204"/>
    <mergeCell ref="A110:A114"/>
    <mergeCell ref="B110:B114"/>
    <mergeCell ref="A95:A99"/>
    <mergeCell ref="B95:B99"/>
    <mergeCell ref="A100:A104"/>
    <mergeCell ref="B100:B104"/>
    <mergeCell ref="A105:A109"/>
    <mergeCell ref="B105:B109"/>
    <mergeCell ref="A80:A84"/>
    <mergeCell ref="B80:B84"/>
    <mergeCell ref="A85:A89"/>
    <mergeCell ref="B85:B89"/>
    <mergeCell ref="A90:A94"/>
    <mergeCell ref="B90:B94"/>
    <mergeCell ref="A5:A9"/>
    <mergeCell ref="B5:B9"/>
    <mergeCell ref="A10:A14"/>
    <mergeCell ref="B10:B14"/>
    <mergeCell ref="A15:A19"/>
    <mergeCell ref="B15:B19"/>
    <mergeCell ref="A20:A24"/>
    <mergeCell ref="B20:B24"/>
    <mergeCell ref="A25:A29"/>
    <mergeCell ref="B25:B29"/>
    <mergeCell ref="A30:A34"/>
    <mergeCell ref="B30:B34"/>
    <mergeCell ref="A35:A39"/>
    <mergeCell ref="B35:B39"/>
    <mergeCell ref="B40:B44"/>
    <mergeCell ref="B45:B49"/>
    <mergeCell ref="A40:A44"/>
    <mergeCell ref="A45:A49"/>
    <mergeCell ref="A50:A54"/>
    <mergeCell ref="B50:B54"/>
    <mergeCell ref="A55:A59"/>
    <mergeCell ref="B55:B59"/>
    <mergeCell ref="A60:A64"/>
    <mergeCell ref="B60:B64"/>
    <mergeCell ref="A65:A69"/>
    <mergeCell ref="B65:B69"/>
    <mergeCell ref="A70:A74"/>
    <mergeCell ref="B70:B74"/>
    <mergeCell ref="A75:A79"/>
    <mergeCell ref="B75:B79"/>
    <mergeCell ref="A115:A119"/>
    <mergeCell ref="B115:B119"/>
    <mergeCell ref="A120:A124"/>
    <mergeCell ref="B120:B124"/>
    <mergeCell ref="A125:A129"/>
    <mergeCell ref="B125:B129"/>
    <mergeCell ref="A130:A134"/>
    <mergeCell ref="B130:B134"/>
    <mergeCell ref="A135:A139"/>
    <mergeCell ref="B135:B139"/>
    <mergeCell ref="A140:A144"/>
    <mergeCell ref="B140:B144"/>
    <mergeCell ref="A145:A149"/>
    <mergeCell ref="B145:B149"/>
    <mergeCell ref="A150:A154"/>
    <mergeCell ref="B150:B154"/>
    <mergeCell ref="A155:A159"/>
    <mergeCell ref="B155:B159"/>
    <mergeCell ref="A160:A164"/>
    <mergeCell ref="B160:B164"/>
    <mergeCell ref="A165:A169"/>
    <mergeCell ref="B165:B169"/>
    <mergeCell ref="A170:A174"/>
    <mergeCell ref="B170:B174"/>
    <mergeCell ref="A175:A179"/>
    <mergeCell ref="B175:B179"/>
    <mergeCell ref="A180:A184"/>
    <mergeCell ref="B180:B184"/>
    <mergeCell ref="A185:A189"/>
    <mergeCell ref="B185:B189"/>
  </mergeCells>
  <pageMargins left="0.7" right="0.7" top="0.75" bottom="0.75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AA52-8B3B-46F5-B957-7912E71331FF}">
  <dimension ref="A2:F214"/>
  <sheetViews>
    <sheetView topLeftCell="A294" workbookViewId="0">
      <selection activeCell="D7" sqref="D7"/>
    </sheetView>
  </sheetViews>
  <sheetFormatPr defaultRowHeight="15" x14ac:dyDescent="0.25"/>
  <cols>
    <col min="1" max="1" width="3.85546875" bestFit="1" customWidth="1"/>
    <col min="2" max="2" width="26.42578125" customWidth="1"/>
    <col min="4" max="4" width="21" bestFit="1" customWidth="1"/>
    <col min="5" max="5" width="22.28515625" bestFit="1" customWidth="1"/>
    <col min="6" max="6" width="7.28515625" bestFit="1" customWidth="1"/>
  </cols>
  <sheetData>
    <row r="2" spans="1:6" ht="32.25" customHeight="1" x14ac:dyDescent="0.25">
      <c r="B2" s="71" t="s">
        <v>195</v>
      </c>
      <c r="C2" s="71"/>
      <c r="D2" s="71"/>
      <c r="E2" s="71"/>
    </row>
    <row r="4" spans="1:6" ht="15.75" x14ac:dyDescent="0.25">
      <c r="A4" s="21" t="s">
        <v>1</v>
      </c>
      <c r="B4" s="21" t="s">
        <v>2</v>
      </c>
      <c r="C4" s="21" t="s">
        <v>145</v>
      </c>
      <c r="D4" s="22" t="s">
        <v>146</v>
      </c>
      <c r="E4" s="22" t="s">
        <v>197</v>
      </c>
      <c r="F4" s="29" t="s">
        <v>155</v>
      </c>
    </row>
    <row r="5" spans="1:6" ht="15.75" x14ac:dyDescent="0.25">
      <c r="A5" s="66">
        <v>1</v>
      </c>
      <c r="B5" s="68" t="s">
        <v>149</v>
      </c>
      <c r="C5" s="37">
        <v>2020</v>
      </c>
      <c r="D5" s="38">
        <v>893779000000</v>
      </c>
      <c r="E5" s="38">
        <v>19247794000000</v>
      </c>
      <c r="F5" s="39">
        <f>D5/E5</f>
        <v>4.6435399298226071E-2</v>
      </c>
    </row>
    <row r="6" spans="1:6" ht="15.75" x14ac:dyDescent="0.25">
      <c r="A6" s="72"/>
      <c r="B6" s="72"/>
      <c r="C6" s="37">
        <v>2021</v>
      </c>
      <c r="D6" s="38">
        <v>2067362000000</v>
      </c>
      <c r="E6" s="38">
        <v>21171173000000</v>
      </c>
      <c r="F6" s="39">
        <f t="shared" ref="F6:F69" si="0">D6/E6</f>
        <v>9.7649856245565603E-2</v>
      </c>
    </row>
    <row r="7" spans="1:6" ht="15.75" x14ac:dyDescent="0.25">
      <c r="A7" s="72"/>
      <c r="B7" s="72"/>
      <c r="C7" s="37">
        <v>2022</v>
      </c>
      <c r="D7" s="38">
        <v>1792050000000</v>
      </c>
      <c r="E7" s="38">
        <v>22243221000000</v>
      </c>
      <c r="F7" s="39">
        <f t="shared" si="0"/>
        <v>8.0566119448257964E-2</v>
      </c>
    </row>
    <row r="8" spans="1:6" ht="15.75" x14ac:dyDescent="0.25">
      <c r="A8" s="72"/>
      <c r="B8" s="72"/>
      <c r="C8" s="37">
        <v>2023</v>
      </c>
      <c r="D8" s="38">
        <v>1088170000000</v>
      </c>
      <c r="E8" s="38">
        <v>22566006000000</v>
      </c>
      <c r="F8" s="39">
        <f t="shared" si="0"/>
        <v>4.8221648084291038E-2</v>
      </c>
    </row>
    <row r="9" spans="1:6" ht="15.75" x14ac:dyDescent="0.25">
      <c r="A9" s="72"/>
      <c r="B9" s="72"/>
      <c r="C9" s="40">
        <v>2024</v>
      </c>
      <c r="D9" s="41">
        <v>1186783000000</v>
      </c>
      <c r="E9" s="38">
        <v>23202062000000</v>
      </c>
      <c r="F9" s="39">
        <f t="shared" si="0"/>
        <v>5.1149893487914995E-2</v>
      </c>
    </row>
    <row r="10" spans="1:6" ht="15.75" x14ac:dyDescent="0.25">
      <c r="A10" s="66">
        <v>2</v>
      </c>
      <c r="B10" s="68" t="s">
        <v>150</v>
      </c>
      <c r="C10" s="37">
        <v>2020</v>
      </c>
      <c r="D10" s="38">
        <v>135789000000</v>
      </c>
      <c r="E10" s="38">
        <v>700508000000</v>
      </c>
      <c r="F10" s="39">
        <f t="shared" si="0"/>
        <v>0.19384361063685213</v>
      </c>
    </row>
    <row r="11" spans="1:6" ht="15.75" x14ac:dyDescent="0.25">
      <c r="A11" s="72"/>
      <c r="B11" s="72"/>
      <c r="C11" s="37">
        <v>2021</v>
      </c>
      <c r="D11" s="38">
        <v>265758000000</v>
      </c>
      <c r="E11" s="38">
        <v>969817000000</v>
      </c>
      <c r="F11" s="39">
        <f t="shared" si="0"/>
        <v>0.27402901784563477</v>
      </c>
    </row>
    <row r="12" spans="1:6" ht="15.75" x14ac:dyDescent="0.25">
      <c r="A12" s="72"/>
      <c r="B12" s="72"/>
      <c r="C12" s="37">
        <v>2022</v>
      </c>
      <c r="D12" s="38">
        <v>364972000000</v>
      </c>
      <c r="E12" s="38">
        <v>1334836000000</v>
      </c>
      <c r="F12" s="39">
        <f t="shared" si="0"/>
        <v>0.27342085469675675</v>
      </c>
    </row>
    <row r="13" spans="1:6" ht="15.75" x14ac:dyDescent="0.25">
      <c r="A13" s="72"/>
      <c r="B13" s="72"/>
      <c r="C13" s="37">
        <v>2023</v>
      </c>
      <c r="D13" s="38">
        <v>395798000000</v>
      </c>
      <c r="E13" s="38">
        <v>1729808000000</v>
      </c>
      <c r="F13" s="39">
        <f t="shared" si="0"/>
        <v>0.2288103650809801</v>
      </c>
    </row>
    <row r="14" spans="1:6" ht="15.75" x14ac:dyDescent="0.25">
      <c r="A14" s="72"/>
      <c r="B14" s="72"/>
      <c r="C14" s="40">
        <v>2024</v>
      </c>
      <c r="D14" s="41">
        <v>527368000000</v>
      </c>
      <c r="E14" s="38">
        <v>2258501000000</v>
      </c>
      <c r="F14" s="39">
        <f t="shared" si="0"/>
        <v>0.23350354947817159</v>
      </c>
    </row>
    <row r="15" spans="1:6" ht="15.75" x14ac:dyDescent="0.25">
      <c r="A15" s="66">
        <v>3</v>
      </c>
      <c r="B15" s="68" t="s">
        <v>151</v>
      </c>
      <c r="C15" s="37">
        <v>2020</v>
      </c>
      <c r="D15" s="38">
        <v>1088477000000</v>
      </c>
      <c r="E15" s="42">
        <v>7636328000000</v>
      </c>
      <c r="F15" s="39">
        <f t="shared" si="0"/>
        <v>0.14253931994539784</v>
      </c>
    </row>
    <row r="16" spans="1:6" ht="15.75" x14ac:dyDescent="0.25">
      <c r="A16" s="72"/>
      <c r="B16" s="72"/>
      <c r="C16" s="37">
        <v>2021</v>
      </c>
      <c r="D16" s="38">
        <v>1963050000000</v>
      </c>
      <c r="E16" s="42">
        <v>8989798000000</v>
      </c>
      <c r="F16" s="39">
        <f t="shared" si="0"/>
        <v>0.2183641946126042</v>
      </c>
    </row>
    <row r="17" spans="1:6" ht="15.75" x14ac:dyDescent="0.25">
      <c r="A17" s="72"/>
      <c r="B17" s="72"/>
      <c r="C17" s="37">
        <v>2022</v>
      </c>
      <c r="D17" s="38">
        <v>2907478000000</v>
      </c>
      <c r="E17" s="42">
        <v>11470692000000</v>
      </c>
      <c r="F17" s="39">
        <f t="shared" si="0"/>
        <v>0.25347014809568597</v>
      </c>
    </row>
    <row r="18" spans="1:6" ht="15.75" x14ac:dyDescent="0.25">
      <c r="A18" s="72"/>
      <c r="B18" s="72"/>
      <c r="C18" s="37">
        <v>2023</v>
      </c>
      <c r="D18" s="38">
        <v>3484025000000</v>
      </c>
      <c r="E18" s="38">
        <v>15705200000000</v>
      </c>
      <c r="F18" s="39">
        <f t="shared" si="0"/>
        <v>0.22183894506278176</v>
      </c>
    </row>
    <row r="19" spans="1:6" ht="15.75" x14ac:dyDescent="0.25">
      <c r="A19" s="72"/>
      <c r="B19" s="72"/>
      <c r="C19" s="40">
        <v>2024</v>
      </c>
      <c r="D19" s="41">
        <v>3220083000000</v>
      </c>
      <c r="E19" s="38">
        <v>17695943000000</v>
      </c>
      <c r="F19" s="39">
        <f t="shared" si="0"/>
        <v>0.18196730177080703</v>
      </c>
    </row>
    <row r="20" spans="1:6" ht="15.75" x14ac:dyDescent="0.25">
      <c r="A20" s="66">
        <v>4</v>
      </c>
      <c r="B20" s="68" t="s">
        <v>156</v>
      </c>
      <c r="C20" s="37">
        <v>2020</v>
      </c>
      <c r="D20" s="38">
        <v>275667000000</v>
      </c>
      <c r="E20" s="38">
        <v>2458387000000</v>
      </c>
      <c r="F20" s="39">
        <f t="shared" si="0"/>
        <v>0.11213328088702064</v>
      </c>
    </row>
    <row r="21" spans="1:6" ht="15.75" x14ac:dyDescent="0.25">
      <c r="A21" s="72"/>
      <c r="B21" s="72"/>
      <c r="C21" s="37">
        <v>2021</v>
      </c>
      <c r="D21" s="38">
        <v>380992000000</v>
      </c>
      <c r="E21" s="38">
        <v>2728045000000</v>
      </c>
      <c r="F21" s="39">
        <f t="shared" si="0"/>
        <v>0.13965752031216494</v>
      </c>
    </row>
    <row r="22" spans="1:6" ht="15.75" x14ac:dyDescent="0.25">
      <c r="A22" s="72"/>
      <c r="B22" s="72"/>
      <c r="C22" s="37">
        <v>2022</v>
      </c>
      <c r="D22" s="38">
        <v>523242000000</v>
      </c>
      <c r="E22" s="38">
        <v>3050250000000</v>
      </c>
      <c r="F22" s="39">
        <f t="shared" si="0"/>
        <v>0.17154069338578806</v>
      </c>
    </row>
    <row r="23" spans="1:6" ht="15.75" x14ac:dyDescent="0.25">
      <c r="A23" s="72"/>
      <c r="B23" s="72"/>
      <c r="C23" s="37">
        <v>2023</v>
      </c>
      <c r="D23" s="38">
        <v>595740000000</v>
      </c>
      <c r="E23" s="38">
        <v>3446696000000</v>
      </c>
      <c r="F23" s="39">
        <f t="shared" si="0"/>
        <v>0.17284379011087719</v>
      </c>
    </row>
    <row r="24" spans="1:6" ht="15.75" x14ac:dyDescent="0.25">
      <c r="A24" s="72"/>
      <c r="B24" s="72"/>
      <c r="C24" s="40">
        <v>2024</v>
      </c>
      <c r="D24" s="41">
        <v>178640000000</v>
      </c>
      <c r="E24" s="38">
        <v>3390455000000</v>
      </c>
      <c r="F24" s="39">
        <f t="shared" si="0"/>
        <v>5.2689093351777266E-2</v>
      </c>
    </row>
    <row r="25" spans="1:6" ht="15.75" x14ac:dyDescent="0.25">
      <c r="A25" s="66">
        <v>5</v>
      </c>
      <c r="B25" s="68" t="s">
        <v>157</v>
      </c>
      <c r="C25" s="37">
        <v>2020</v>
      </c>
      <c r="D25" s="38">
        <v>67093000000</v>
      </c>
      <c r="E25" s="38">
        <v>1322156000000</v>
      </c>
      <c r="F25" s="39">
        <f t="shared" si="0"/>
        <v>5.0745146563643019E-2</v>
      </c>
    </row>
    <row r="26" spans="1:6" ht="15.75" x14ac:dyDescent="0.25">
      <c r="A26" s="72"/>
      <c r="B26" s="72"/>
      <c r="C26" s="37">
        <v>2021</v>
      </c>
      <c r="D26" s="38">
        <v>91723000000</v>
      </c>
      <c r="E26" s="38">
        <v>1387697000000</v>
      </c>
      <c r="F26" s="39">
        <f t="shared" si="0"/>
        <v>6.6097282043558497E-2</v>
      </c>
    </row>
    <row r="27" spans="1:6" ht="15.75" x14ac:dyDescent="0.25">
      <c r="A27" s="72"/>
      <c r="B27" s="72"/>
      <c r="C27" s="37">
        <v>2022</v>
      </c>
      <c r="D27" s="38">
        <v>93065000000</v>
      </c>
      <c r="E27" s="38">
        <v>1445037000000</v>
      </c>
      <c r="F27" s="39">
        <f t="shared" si="0"/>
        <v>6.4403195212302519E-2</v>
      </c>
    </row>
    <row r="28" spans="1:6" ht="15.75" x14ac:dyDescent="0.25">
      <c r="A28" s="72"/>
      <c r="B28" s="72"/>
      <c r="C28" s="37">
        <v>2023</v>
      </c>
      <c r="D28" s="38">
        <v>102542000000</v>
      </c>
      <c r="E28" s="38">
        <v>1591327000000</v>
      </c>
      <c r="F28" s="39">
        <f t="shared" si="0"/>
        <v>6.4438044474831382E-2</v>
      </c>
    </row>
    <row r="29" spans="1:6" ht="15.75" x14ac:dyDescent="0.25">
      <c r="A29" s="72"/>
      <c r="B29" s="72"/>
      <c r="C29" s="40">
        <v>2024</v>
      </c>
      <c r="D29" s="41">
        <v>67848000000</v>
      </c>
      <c r="E29" s="38">
        <v>1619224000000</v>
      </c>
      <c r="F29" s="39">
        <f t="shared" si="0"/>
        <v>4.190155284259621E-2</v>
      </c>
    </row>
    <row r="30" spans="1:6" ht="15.75" x14ac:dyDescent="0.25">
      <c r="A30" s="66">
        <v>6</v>
      </c>
      <c r="B30" s="68" t="s">
        <v>158</v>
      </c>
      <c r="C30" s="37">
        <v>2020</v>
      </c>
      <c r="D30" s="38">
        <v>181812593992</v>
      </c>
      <c r="E30" s="38">
        <v>1260714994864</v>
      </c>
      <c r="F30" s="39">
        <f t="shared" si="0"/>
        <v>0.14421387445432352</v>
      </c>
    </row>
    <row r="31" spans="1:6" ht="15.75" x14ac:dyDescent="0.25">
      <c r="A31" s="72"/>
      <c r="B31" s="72"/>
      <c r="C31" s="37">
        <v>2021</v>
      </c>
      <c r="D31" s="38">
        <v>187066990085</v>
      </c>
      <c r="E31" s="38">
        <v>1387366962835</v>
      </c>
      <c r="F31" s="39">
        <f t="shared" si="0"/>
        <v>0.13483598434745772</v>
      </c>
    </row>
    <row r="32" spans="1:6" ht="15.75" x14ac:dyDescent="0.25">
      <c r="A32" s="72"/>
      <c r="B32" s="72"/>
      <c r="C32" s="37">
        <v>2022</v>
      </c>
      <c r="D32" s="38">
        <v>220704543072</v>
      </c>
      <c r="E32" s="38">
        <v>1550042869748</v>
      </c>
      <c r="F32" s="39">
        <f t="shared" si="0"/>
        <v>0.14238608968788152</v>
      </c>
    </row>
    <row r="33" spans="1:6" ht="15.75" x14ac:dyDescent="0.25">
      <c r="A33" s="72"/>
      <c r="B33" s="72"/>
      <c r="C33" s="37">
        <v>2023</v>
      </c>
      <c r="D33" s="38">
        <v>153574779624</v>
      </c>
      <c r="E33" s="38">
        <v>1642285662293</v>
      </c>
      <c r="F33" s="39">
        <f t="shared" si="0"/>
        <v>9.3512829801835493E-2</v>
      </c>
    </row>
    <row r="34" spans="1:6" ht="15.75" x14ac:dyDescent="0.25">
      <c r="A34" s="72"/>
      <c r="B34" s="72"/>
      <c r="C34" s="40">
        <v>2024</v>
      </c>
      <c r="D34" s="38">
        <v>324942516449</v>
      </c>
      <c r="E34" s="38">
        <v>1908791069163</v>
      </c>
      <c r="F34" s="39">
        <f t="shared" si="0"/>
        <v>0.17023472170345311</v>
      </c>
    </row>
    <row r="35" spans="1:6" ht="15.75" x14ac:dyDescent="0.25">
      <c r="A35" s="66">
        <v>7</v>
      </c>
      <c r="B35" s="68" t="s">
        <v>159</v>
      </c>
      <c r="C35" s="37">
        <v>2020</v>
      </c>
      <c r="D35" s="38">
        <v>3845833000000</v>
      </c>
      <c r="E35" s="38">
        <v>23349683000000</v>
      </c>
      <c r="F35" s="39">
        <f t="shared" si="0"/>
        <v>0.16470600478815922</v>
      </c>
    </row>
    <row r="36" spans="1:6" ht="15.75" x14ac:dyDescent="0.25">
      <c r="A36" s="72"/>
      <c r="B36" s="72"/>
      <c r="C36" s="37">
        <v>2021</v>
      </c>
      <c r="D36" s="38">
        <v>3619010000000</v>
      </c>
      <c r="E36" s="38">
        <v>25149999000000</v>
      </c>
      <c r="F36" s="39">
        <f t="shared" si="0"/>
        <v>0.14389702361419576</v>
      </c>
    </row>
    <row r="37" spans="1:6" ht="15.75" x14ac:dyDescent="0.25">
      <c r="A37" s="72"/>
      <c r="B37" s="72"/>
      <c r="C37" s="37">
        <v>2022</v>
      </c>
      <c r="D37" s="38">
        <v>2930357000000</v>
      </c>
      <c r="E37" s="38">
        <v>26327214000000</v>
      </c>
      <c r="F37" s="39">
        <f t="shared" si="0"/>
        <v>0.11130524483145084</v>
      </c>
    </row>
    <row r="38" spans="1:6" ht="15.75" x14ac:dyDescent="0.25">
      <c r="A38" s="72"/>
      <c r="B38" s="72"/>
      <c r="C38" s="37">
        <v>2023</v>
      </c>
      <c r="D38" s="38">
        <v>2318088000000</v>
      </c>
      <c r="E38" s="38">
        <v>27028758000000</v>
      </c>
      <c r="F38" s="39">
        <f t="shared" si="0"/>
        <v>8.576376317402376E-2</v>
      </c>
    </row>
    <row r="39" spans="1:6" ht="15.75" x14ac:dyDescent="0.25">
      <c r="A39" s="72"/>
      <c r="B39" s="72"/>
      <c r="C39" s="40">
        <v>2024</v>
      </c>
      <c r="D39" s="41">
        <v>3711601000000</v>
      </c>
      <c r="E39" s="38">
        <v>30288922000000</v>
      </c>
      <c r="F39" s="39">
        <f t="shared" si="0"/>
        <v>0.12253988438413226</v>
      </c>
    </row>
    <row r="40" spans="1:6" ht="15.75" x14ac:dyDescent="0.25">
      <c r="A40" s="66">
        <v>8</v>
      </c>
      <c r="B40" s="68" t="s">
        <v>163</v>
      </c>
      <c r="C40" s="37">
        <v>2020</v>
      </c>
      <c r="D40" s="38">
        <v>381422000000</v>
      </c>
      <c r="E40" s="38">
        <v>707584000000</v>
      </c>
      <c r="F40" s="39">
        <f t="shared" si="0"/>
        <v>0.53904836740231543</v>
      </c>
    </row>
    <row r="41" spans="1:6" ht="15.75" x14ac:dyDescent="0.25">
      <c r="A41" s="72"/>
      <c r="B41" s="72"/>
      <c r="C41" s="37">
        <v>2021</v>
      </c>
      <c r="D41" s="38">
        <v>2212293000000</v>
      </c>
      <c r="E41" s="38">
        <v>2861207000000</v>
      </c>
      <c r="F41" s="39">
        <f t="shared" si="0"/>
        <v>0.77320270780827816</v>
      </c>
    </row>
    <row r="42" spans="1:6" ht="15.75" x14ac:dyDescent="0.25">
      <c r="A42" s="72"/>
      <c r="B42" s="72"/>
      <c r="C42" s="37">
        <v>2022</v>
      </c>
      <c r="D42" s="38">
        <v>373978000000</v>
      </c>
      <c r="E42" s="38">
        <v>3181832000000</v>
      </c>
      <c r="F42" s="39">
        <f t="shared" si="0"/>
        <v>0.11753543241755064</v>
      </c>
    </row>
    <row r="43" spans="1:6" ht="15.75" x14ac:dyDescent="0.25">
      <c r="A43" s="72"/>
      <c r="B43" s="72"/>
      <c r="C43" s="37">
        <v>2023</v>
      </c>
      <c r="D43" s="38">
        <v>401774000000</v>
      </c>
      <c r="E43" s="38">
        <v>3419703000000</v>
      </c>
      <c r="F43" s="39">
        <f t="shared" si="0"/>
        <v>0.11748798068136326</v>
      </c>
    </row>
    <row r="44" spans="1:6" ht="15.75" x14ac:dyDescent="0.25">
      <c r="A44" s="72"/>
      <c r="B44" s="72"/>
      <c r="C44" s="40">
        <v>2024</v>
      </c>
      <c r="D44" s="38">
        <v>320155000000</v>
      </c>
      <c r="E44" s="38">
        <v>3568651000000</v>
      </c>
      <c r="F44" s="39">
        <f t="shared" si="0"/>
        <v>8.9713171727916236E-2</v>
      </c>
    </row>
    <row r="45" spans="1:6" ht="15.75" x14ac:dyDescent="0.25">
      <c r="A45" s="66">
        <v>9</v>
      </c>
      <c r="B45" s="68" t="s">
        <v>160</v>
      </c>
      <c r="C45" s="37">
        <v>2020</v>
      </c>
      <c r="D45" s="38">
        <v>123465762000</v>
      </c>
      <c r="E45" s="38">
        <v>1019898963000</v>
      </c>
      <c r="F45" s="39">
        <f t="shared" si="0"/>
        <v>0.12105685609957817</v>
      </c>
    </row>
    <row r="46" spans="1:6" ht="15.75" x14ac:dyDescent="0.25">
      <c r="A46" s="72"/>
      <c r="B46" s="72"/>
      <c r="C46" s="37">
        <v>2021</v>
      </c>
      <c r="D46" s="38">
        <v>187992998000</v>
      </c>
      <c r="E46" s="38">
        <v>1010174017000</v>
      </c>
      <c r="F46" s="39">
        <f t="shared" si="0"/>
        <v>0.18609961732959521</v>
      </c>
    </row>
    <row r="47" spans="1:6" ht="15.75" x14ac:dyDescent="0.25">
      <c r="A47" s="72"/>
      <c r="B47" s="72"/>
      <c r="C47" s="37">
        <v>2022</v>
      </c>
      <c r="D47" s="38">
        <v>230065807000</v>
      </c>
      <c r="E47" s="38">
        <v>1000775865000</v>
      </c>
      <c r="F47" s="39">
        <f t="shared" si="0"/>
        <v>0.22988744537719241</v>
      </c>
    </row>
    <row r="48" spans="1:6" ht="15.75" x14ac:dyDescent="0.25">
      <c r="A48" s="72"/>
      <c r="B48" s="72"/>
      <c r="C48" s="37">
        <v>2023</v>
      </c>
      <c r="D48" s="38">
        <v>199611841000</v>
      </c>
      <c r="E48" s="38">
        <v>934414260000</v>
      </c>
      <c r="F48" s="39">
        <f t="shared" si="0"/>
        <v>0.21362242588207075</v>
      </c>
    </row>
    <row r="49" spans="1:6" ht="15.75" x14ac:dyDescent="0.25">
      <c r="A49" s="72"/>
      <c r="B49" s="72"/>
      <c r="C49" s="40">
        <v>2024</v>
      </c>
      <c r="D49" s="41">
        <v>142367399000</v>
      </c>
      <c r="E49" s="38">
        <v>849904120000</v>
      </c>
      <c r="F49" s="39">
        <f t="shared" si="0"/>
        <v>0.16750995276973124</v>
      </c>
    </row>
    <row r="50" spans="1:6" ht="15.75" x14ac:dyDescent="0.25">
      <c r="A50" s="66">
        <v>10</v>
      </c>
      <c r="B50" s="68" t="s">
        <v>161</v>
      </c>
      <c r="C50" s="37">
        <v>2020</v>
      </c>
      <c r="D50" s="38">
        <v>478171000000</v>
      </c>
      <c r="E50" s="38">
        <v>6230749000000</v>
      </c>
      <c r="F50" s="39">
        <f t="shared" si="0"/>
        <v>7.6743743007461868E-2</v>
      </c>
    </row>
    <row r="51" spans="1:6" ht="15.75" x14ac:dyDescent="0.25">
      <c r="A51" s="72"/>
      <c r="B51" s="72"/>
      <c r="C51" s="37">
        <v>2021</v>
      </c>
      <c r="D51" s="38">
        <v>739649000000</v>
      </c>
      <c r="E51" s="38">
        <v>7025463000000</v>
      </c>
      <c r="F51" s="39">
        <f t="shared" si="0"/>
        <v>0.1052811750627681</v>
      </c>
    </row>
    <row r="52" spans="1:6" ht="15.75" x14ac:dyDescent="0.25">
      <c r="A52" s="72"/>
      <c r="B52" s="72"/>
      <c r="C52" s="37">
        <v>2022</v>
      </c>
      <c r="D52" s="38">
        <v>1206587000000</v>
      </c>
      <c r="E52" s="38">
        <v>8160140000000</v>
      </c>
      <c r="F52" s="39">
        <f t="shared" si="0"/>
        <v>0.14786351704750164</v>
      </c>
    </row>
    <row r="53" spans="1:6" ht="15.75" x14ac:dyDescent="0.25">
      <c r="A53" s="72"/>
      <c r="B53" s="72"/>
      <c r="C53" s="37">
        <v>2023</v>
      </c>
      <c r="D53" s="38">
        <v>841665000000</v>
      </c>
      <c r="E53" s="38">
        <v>8889428000000</v>
      </c>
      <c r="F53" s="39">
        <f t="shared" si="0"/>
        <v>9.4681570062775694E-2</v>
      </c>
    </row>
    <row r="54" spans="1:6" ht="15.75" x14ac:dyDescent="0.25">
      <c r="A54" s="72"/>
      <c r="B54" s="72"/>
      <c r="C54" s="40">
        <v>2024</v>
      </c>
      <c r="D54" s="41">
        <v>1141375000000</v>
      </c>
      <c r="E54" s="38">
        <v>9897315000000</v>
      </c>
      <c r="F54" s="39">
        <f t="shared" si="0"/>
        <v>0.11532168067804248</v>
      </c>
    </row>
    <row r="55" spans="1:6" ht="15.75" x14ac:dyDescent="0.25">
      <c r="A55" s="66">
        <v>11</v>
      </c>
      <c r="B55" s="68" t="s">
        <v>162</v>
      </c>
      <c r="C55" s="37">
        <v>2020</v>
      </c>
      <c r="D55" s="38">
        <v>679870547997</v>
      </c>
      <c r="E55" s="38">
        <v>6559456360507</v>
      </c>
      <c r="F55" s="39">
        <f t="shared" si="0"/>
        <v>0.10364739250196807</v>
      </c>
    </row>
    <row r="56" spans="1:6" ht="15.75" x14ac:dyDescent="0.25">
      <c r="A56" s="72"/>
      <c r="B56" s="72"/>
      <c r="C56" s="37">
        <v>2021</v>
      </c>
      <c r="D56" s="38">
        <v>846240999497</v>
      </c>
      <c r="E56" s="38">
        <v>6846921143922</v>
      </c>
      <c r="F56" s="39">
        <f t="shared" si="0"/>
        <v>0.12359438376885744</v>
      </c>
    </row>
    <row r="57" spans="1:6" ht="15.75" x14ac:dyDescent="0.25">
      <c r="A57" s="72"/>
      <c r="B57" s="72"/>
      <c r="C57" s="37">
        <v>2022</v>
      </c>
      <c r="D57" s="38">
        <v>842590883679</v>
      </c>
      <c r="E57" s="38">
        <v>7137625893943</v>
      </c>
      <c r="F57" s="39">
        <f t="shared" si="0"/>
        <v>0.11804917996529124</v>
      </c>
    </row>
    <row r="58" spans="1:6" ht="15.75" x14ac:dyDescent="0.25">
      <c r="A58" s="72"/>
      <c r="B58" s="72"/>
      <c r="C58" s="37">
        <v>2023</v>
      </c>
      <c r="D58" s="38">
        <v>688374430004</v>
      </c>
      <c r="E58" s="38">
        <v>7297830360245</v>
      </c>
      <c r="F58" s="39">
        <f t="shared" si="0"/>
        <v>9.4325901812397042E-2</v>
      </c>
    </row>
    <row r="59" spans="1:6" ht="15.75" x14ac:dyDescent="0.25">
      <c r="A59" s="72"/>
      <c r="B59" s="72"/>
      <c r="C59" s="40">
        <v>2024</v>
      </c>
      <c r="D59" s="38">
        <v>738328424610</v>
      </c>
      <c r="E59" s="38">
        <v>7577641306112</v>
      </c>
      <c r="F59" s="39">
        <f t="shared" si="0"/>
        <v>9.7435124570290299E-2</v>
      </c>
    </row>
    <row r="60" spans="1:6" ht="15.75" x14ac:dyDescent="0.25">
      <c r="A60" s="66">
        <v>12</v>
      </c>
      <c r="B60" s="68" t="s">
        <v>164</v>
      </c>
      <c r="C60" s="37">
        <v>2020</v>
      </c>
      <c r="D60" s="38">
        <v>7647729000000</v>
      </c>
      <c r="E60" s="38">
        <v>58522468000000</v>
      </c>
      <c r="F60" s="39">
        <f t="shared" si="0"/>
        <v>0.13068022011648586</v>
      </c>
    </row>
    <row r="61" spans="1:6" ht="15.75" x14ac:dyDescent="0.25">
      <c r="A61" s="72"/>
      <c r="B61" s="72"/>
      <c r="C61" s="37">
        <v>2021</v>
      </c>
      <c r="D61" s="38">
        <v>5605321000000</v>
      </c>
      <c r="E61" s="38">
        <v>59288274000000</v>
      </c>
      <c r="F61" s="39">
        <f t="shared" si="0"/>
        <v>9.454350113143789E-2</v>
      </c>
    </row>
    <row r="62" spans="1:6" ht="15.75" x14ac:dyDescent="0.25">
      <c r="A62" s="72"/>
      <c r="B62" s="72"/>
      <c r="C62" s="37">
        <v>2022</v>
      </c>
      <c r="D62" s="38">
        <v>2779742000000</v>
      </c>
      <c r="E62" s="38">
        <v>57855966000000</v>
      </c>
      <c r="F62" s="39">
        <f t="shared" si="0"/>
        <v>4.8045900746000854E-2</v>
      </c>
    </row>
    <row r="63" spans="1:6" ht="15.75" x14ac:dyDescent="0.25">
      <c r="A63" s="72"/>
      <c r="B63" s="72"/>
      <c r="C63" s="37">
        <v>2023</v>
      </c>
      <c r="D63" s="38">
        <v>5324516000000</v>
      </c>
      <c r="E63" s="38">
        <v>60862843000000</v>
      </c>
      <c r="F63" s="39">
        <f t="shared" si="0"/>
        <v>8.7483852832835954E-2</v>
      </c>
    </row>
    <row r="64" spans="1:6" ht="15.75" x14ac:dyDescent="0.25">
      <c r="A64" s="72"/>
      <c r="B64" s="72"/>
      <c r="C64" s="40">
        <v>2024</v>
      </c>
      <c r="D64" s="41">
        <v>980804000000</v>
      </c>
      <c r="E64" s="38">
        <v>61916591000000</v>
      </c>
      <c r="F64" s="39">
        <f t="shared" si="0"/>
        <v>1.5840729991093986E-2</v>
      </c>
    </row>
    <row r="65" spans="1:6" ht="15.75" x14ac:dyDescent="0.25">
      <c r="A65" s="66">
        <v>13</v>
      </c>
      <c r="B65" s="68" t="s">
        <v>165</v>
      </c>
      <c r="C65" s="37">
        <v>2020</v>
      </c>
      <c r="D65" s="38">
        <v>8581378000000</v>
      </c>
      <c r="E65" s="38">
        <v>30241426000000</v>
      </c>
      <c r="F65" s="39">
        <f t="shared" si="0"/>
        <v>0.28376234639199882</v>
      </c>
    </row>
    <row r="66" spans="1:6" ht="15.75" x14ac:dyDescent="0.25">
      <c r="A66" s="72"/>
      <c r="B66" s="72"/>
      <c r="C66" s="37">
        <v>2021</v>
      </c>
      <c r="D66" s="38">
        <v>7137097000000</v>
      </c>
      <c r="E66" s="38">
        <v>29191406000000</v>
      </c>
      <c r="F66" s="39">
        <f t="shared" si="0"/>
        <v>0.24449308813696743</v>
      </c>
    </row>
    <row r="67" spans="1:6" ht="15.75" x14ac:dyDescent="0.25">
      <c r="A67" s="72"/>
      <c r="B67" s="72"/>
      <c r="C67" s="37">
        <v>2022</v>
      </c>
      <c r="D67" s="38">
        <v>6323744000000</v>
      </c>
      <c r="E67" s="38">
        <v>28170168000000</v>
      </c>
      <c r="F67" s="39">
        <f t="shared" si="0"/>
        <v>0.22448371624904756</v>
      </c>
    </row>
    <row r="68" spans="1:6" ht="15.75" x14ac:dyDescent="0.25">
      <c r="A68" s="72"/>
      <c r="B68" s="72"/>
      <c r="C68" s="37">
        <v>2023</v>
      </c>
      <c r="D68" s="38">
        <v>8096811000000</v>
      </c>
      <c r="E68" s="38">
        <v>29869853000000</v>
      </c>
      <c r="F68" s="39">
        <f t="shared" si="0"/>
        <v>0.27106966344963263</v>
      </c>
    </row>
    <row r="69" spans="1:6" ht="15.75" x14ac:dyDescent="0.25">
      <c r="A69" s="72"/>
      <c r="B69" s="72"/>
      <c r="C69" s="40">
        <v>2024</v>
      </c>
      <c r="D69" s="38">
        <v>6645774000000</v>
      </c>
      <c r="E69" s="38">
        <v>28356427000000</v>
      </c>
      <c r="F69" s="39">
        <f t="shared" si="0"/>
        <v>0.23436570481887581</v>
      </c>
    </row>
    <row r="70" spans="1:6" ht="15.75" x14ac:dyDescent="0.25">
      <c r="A70" s="66">
        <v>14</v>
      </c>
      <c r="B70" s="68" t="s">
        <v>166</v>
      </c>
      <c r="C70" s="37">
        <v>2020</v>
      </c>
      <c r="D70" s="38">
        <v>7418574000000</v>
      </c>
      <c r="E70" s="38">
        <v>50659843000000</v>
      </c>
      <c r="F70" s="39">
        <f t="shared" ref="F70:F133" si="1">D70/E70</f>
        <v>0.14643894573459298</v>
      </c>
    </row>
    <row r="71" spans="1:6" ht="15.75" x14ac:dyDescent="0.25">
      <c r="A71" s="72"/>
      <c r="B71" s="72"/>
      <c r="C71" s="37">
        <v>2021</v>
      </c>
      <c r="D71" s="38">
        <v>7911943000000</v>
      </c>
      <c r="E71" s="38">
        <v>54940607000000</v>
      </c>
      <c r="F71" s="39">
        <f t="shared" si="1"/>
        <v>0.14400902050463329</v>
      </c>
    </row>
    <row r="72" spans="1:6" ht="15.75" x14ac:dyDescent="0.25">
      <c r="A72" s="72"/>
      <c r="B72" s="72"/>
      <c r="C72" s="37">
        <v>2022</v>
      </c>
      <c r="D72" s="38">
        <v>5722194000000</v>
      </c>
      <c r="E72" s="38">
        <v>57473007000000</v>
      </c>
      <c r="F72" s="39">
        <f t="shared" si="1"/>
        <v>9.9563156665876215E-2</v>
      </c>
    </row>
    <row r="73" spans="1:6" ht="15.75" x14ac:dyDescent="0.25">
      <c r="A73" s="72"/>
      <c r="B73" s="72"/>
      <c r="C73" s="37">
        <v>2023</v>
      </c>
      <c r="D73" s="38">
        <v>8465123000000</v>
      </c>
      <c r="E73" s="38">
        <v>62104033000000</v>
      </c>
      <c r="F73" s="39">
        <f t="shared" si="1"/>
        <v>0.13630552785517167</v>
      </c>
    </row>
    <row r="74" spans="1:6" ht="15.75" x14ac:dyDescent="0.25">
      <c r="A74" s="72"/>
      <c r="B74" s="72"/>
      <c r="C74" s="40">
        <v>2024</v>
      </c>
      <c r="D74" s="38">
        <v>8813377000000</v>
      </c>
      <c r="E74" s="38">
        <v>67043885000000</v>
      </c>
      <c r="F74" s="39">
        <f t="shared" si="1"/>
        <v>0.13145683607088104</v>
      </c>
    </row>
    <row r="75" spans="1:6" ht="15.75" x14ac:dyDescent="0.25">
      <c r="A75" s="66">
        <v>15</v>
      </c>
      <c r="B75" s="68" t="s">
        <v>167</v>
      </c>
      <c r="C75" s="37">
        <v>2020</v>
      </c>
      <c r="D75" s="38">
        <v>8752066000000</v>
      </c>
      <c r="E75" s="38">
        <v>79653950000000</v>
      </c>
      <c r="F75" s="39">
        <f t="shared" si="1"/>
        <v>0.10987610783897095</v>
      </c>
    </row>
    <row r="76" spans="1:6" ht="15.75" x14ac:dyDescent="0.25">
      <c r="A76" s="72"/>
      <c r="B76" s="72"/>
      <c r="C76" s="37">
        <v>2021</v>
      </c>
      <c r="D76" s="38">
        <v>11229695000000</v>
      </c>
      <c r="E76" s="38">
        <v>86986509000000</v>
      </c>
      <c r="F76" s="39">
        <f t="shared" si="1"/>
        <v>0.12909697295703637</v>
      </c>
    </row>
    <row r="77" spans="1:6" ht="15.75" x14ac:dyDescent="0.25">
      <c r="A77" s="72"/>
      <c r="B77" s="72"/>
      <c r="C77" s="37">
        <v>2022</v>
      </c>
      <c r="D77" s="38">
        <v>9192569000000</v>
      </c>
      <c r="E77" s="38">
        <v>93623038000000</v>
      </c>
      <c r="F77" s="39">
        <f t="shared" si="1"/>
        <v>9.8187040245372087E-2</v>
      </c>
    </row>
    <row r="78" spans="1:6" ht="15.75" x14ac:dyDescent="0.25">
      <c r="A78" s="72"/>
      <c r="B78" s="72"/>
      <c r="C78" s="37">
        <v>2023</v>
      </c>
      <c r="D78" s="38">
        <v>11493733000000</v>
      </c>
      <c r="E78" s="38">
        <v>100464891000000</v>
      </c>
      <c r="F78" s="39">
        <f t="shared" si="1"/>
        <v>0.11440546926985667</v>
      </c>
    </row>
    <row r="79" spans="1:6" ht="15.75" x14ac:dyDescent="0.25">
      <c r="A79" s="72"/>
      <c r="B79" s="72"/>
      <c r="C79" s="40">
        <v>2024</v>
      </c>
      <c r="D79" s="38">
        <v>13077496000000</v>
      </c>
      <c r="E79" s="38">
        <v>108991283000000</v>
      </c>
      <c r="F79" s="39">
        <f t="shared" si="1"/>
        <v>0.11998662315040369</v>
      </c>
    </row>
    <row r="80" spans="1:6" ht="15.75" x14ac:dyDescent="0.25">
      <c r="A80" s="66">
        <v>16</v>
      </c>
      <c r="B80" s="68" t="s">
        <v>168</v>
      </c>
      <c r="C80" s="37">
        <v>2020</v>
      </c>
      <c r="D80" s="38">
        <v>1002376000000</v>
      </c>
      <c r="E80" s="38">
        <v>11411970000000</v>
      </c>
      <c r="F80" s="39">
        <f t="shared" si="1"/>
        <v>8.7835492031612422E-2</v>
      </c>
    </row>
    <row r="81" spans="1:6" ht="15.75" x14ac:dyDescent="0.25">
      <c r="A81" s="72"/>
      <c r="B81" s="72"/>
      <c r="C81" s="37">
        <v>2021</v>
      </c>
      <c r="D81" s="38">
        <v>2130896000000</v>
      </c>
      <c r="E81" s="38">
        <v>13102710000000</v>
      </c>
      <c r="F81" s="39">
        <f t="shared" si="1"/>
        <v>0.16263017345266742</v>
      </c>
    </row>
    <row r="82" spans="1:6" ht="15.75" x14ac:dyDescent="0.25">
      <c r="A82" s="72"/>
      <c r="B82" s="72"/>
      <c r="C82" s="37">
        <v>2022</v>
      </c>
      <c r="D82" s="38">
        <v>1490931000000</v>
      </c>
      <c r="E82" s="38">
        <v>13654777000000</v>
      </c>
      <c r="F82" s="39">
        <f t="shared" si="1"/>
        <v>0.10918750265932574</v>
      </c>
    </row>
    <row r="83" spans="1:6" ht="15.75" x14ac:dyDescent="0.25">
      <c r="A83" s="72"/>
      <c r="B83" s="72"/>
      <c r="C83" s="37">
        <v>2023</v>
      </c>
      <c r="D83" s="38">
        <v>945922000000</v>
      </c>
      <c r="E83" s="38">
        <v>14167212000000</v>
      </c>
      <c r="F83" s="39">
        <f t="shared" si="1"/>
        <v>6.6768394515448776E-2</v>
      </c>
    </row>
    <row r="84" spans="1:6" ht="15.75" x14ac:dyDescent="0.25">
      <c r="A84" s="72"/>
      <c r="B84" s="72"/>
      <c r="C84" s="40">
        <v>2024</v>
      </c>
      <c r="D84" s="38">
        <v>3212338000000</v>
      </c>
      <c r="E84" s="38">
        <v>16572522000000</v>
      </c>
      <c r="F84" s="39">
        <f t="shared" si="1"/>
        <v>0.19383519297787025</v>
      </c>
    </row>
    <row r="85" spans="1:6" ht="15.75" x14ac:dyDescent="0.25">
      <c r="A85" s="66">
        <v>17</v>
      </c>
      <c r="B85" s="68" t="s">
        <v>169</v>
      </c>
      <c r="C85" s="37">
        <v>2020</v>
      </c>
      <c r="D85" s="38">
        <v>716152000000</v>
      </c>
      <c r="E85" s="38">
        <v>9306993000000</v>
      </c>
      <c r="F85" s="39">
        <f t="shared" si="1"/>
        <v>7.6947731668004907E-2</v>
      </c>
    </row>
    <row r="86" spans="1:6" ht="15.75" x14ac:dyDescent="0.25">
      <c r="A86" s="72"/>
      <c r="B86" s="72"/>
      <c r="C86" s="37">
        <v>2021</v>
      </c>
      <c r="D86" s="38">
        <v>991630000000</v>
      </c>
      <c r="E86" s="38">
        <v>10191396000000</v>
      </c>
      <c r="F86" s="39">
        <f t="shared" si="1"/>
        <v>9.7300703456131038E-2</v>
      </c>
    </row>
    <row r="87" spans="1:6" ht="15.75" x14ac:dyDescent="0.25">
      <c r="A87" s="72"/>
      <c r="B87" s="72"/>
      <c r="C87" s="37">
        <v>2022</v>
      </c>
      <c r="D87" s="38">
        <v>1035285000000</v>
      </c>
      <c r="E87" s="38">
        <v>10935707000000</v>
      </c>
      <c r="F87" s="39">
        <f t="shared" si="1"/>
        <v>9.4670147984030659E-2</v>
      </c>
    </row>
    <row r="88" spans="1:6" ht="15.75" x14ac:dyDescent="0.25">
      <c r="A88" s="72"/>
      <c r="B88" s="72"/>
      <c r="C88" s="37">
        <v>2023</v>
      </c>
      <c r="D88" s="38">
        <v>760673000000</v>
      </c>
      <c r="E88" s="38">
        <v>11347441000000</v>
      </c>
      <c r="F88" s="39">
        <f t="shared" si="1"/>
        <v>6.7034761405677282E-2</v>
      </c>
    </row>
    <row r="89" spans="1:6" ht="15.75" x14ac:dyDescent="0.25">
      <c r="A89" s="72"/>
      <c r="B89" s="72"/>
      <c r="C89" s="40">
        <v>2024</v>
      </c>
      <c r="D89" s="38">
        <v>1475654000000</v>
      </c>
      <c r="E89" s="38">
        <v>12556754000000</v>
      </c>
      <c r="F89" s="39">
        <f t="shared" si="1"/>
        <v>0.11751874728134357</v>
      </c>
    </row>
    <row r="90" spans="1:6" ht="15.75" x14ac:dyDescent="0.25">
      <c r="A90" s="66">
        <v>18</v>
      </c>
      <c r="B90" s="68" t="s">
        <v>170</v>
      </c>
      <c r="C90" s="37">
        <v>2020</v>
      </c>
      <c r="D90" s="38">
        <v>200273000000</v>
      </c>
      <c r="E90" s="38">
        <v>1454146000000</v>
      </c>
      <c r="F90" s="39">
        <f t="shared" si="1"/>
        <v>0.1377255103682849</v>
      </c>
    </row>
    <row r="91" spans="1:6" ht="15.75" x14ac:dyDescent="0.25">
      <c r="A91" s="72"/>
      <c r="B91" s="72"/>
      <c r="C91" s="37">
        <v>2021</v>
      </c>
      <c r="D91" s="38">
        <v>269694000000</v>
      </c>
      <c r="E91" s="38">
        <v>1667644000000</v>
      </c>
      <c r="F91" s="39">
        <f t="shared" si="1"/>
        <v>0.16172156647341998</v>
      </c>
    </row>
    <row r="92" spans="1:6" ht="15.75" x14ac:dyDescent="0.25">
      <c r="A92" s="72"/>
      <c r="B92" s="72"/>
      <c r="C92" s="37">
        <v>2022</v>
      </c>
      <c r="D92" s="38">
        <v>399121000000</v>
      </c>
      <c r="E92" s="38">
        <v>1986727000000</v>
      </c>
      <c r="F92" s="39">
        <f t="shared" si="1"/>
        <v>0.20089373124742352</v>
      </c>
    </row>
    <row r="93" spans="1:6" ht="15.75" x14ac:dyDescent="0.25">
      <c r="A93" s="72"/>
      <c r="B93" s="72"/>
      <c r="C93" s="37">
        <v>2023</v>
      </c>
      <c r="D93" s="38">
        <v>516318000000</v>
      </c>
      <c r="E93" s="38">
        <v>3912434000000</v>
      </c>
      <c r="F93" s="39">
        <f t="shared" si="1"/>
        <v>0.1319684881585223</v>
      </c>
    </row>
    <row r="94" spans="1:6" ht="15.75" x14ac:dyDescent="0.25">
      <c r="A94" s="72"/>
      <c r="B94" s="72"/>
      <c r="C94" s="40">
        <v>2024</v>
      </c>
      <c r="D94" s="38">
        <v>475577000000</v>
      </c>
      <c r="E94" s="38">
        <v>4291057000000</v>
      </c>
      <c r="F94" s="39">
        <f t="shared" si="1"/>
        <v>0.11082980254049293</v>
      </c>
    </row>
    <row r="95" spans="1:6" ht="15.75" x14ac:dyDescent="0.25">
      <c r="A95" s="66">
        <v>19</v>
      </c>
      <c r="B95" s="68" t="s">
        <v>171</v>
      </c>
      <c r="C95" s="37">
        <v>2020</v>
      </c>
      <c r="D95" s="38">
        <v>285617000000</v>
      </c>
      <c r="E95" s="38">
        <v>1433406000000</v>
      </c>
      <c r="F95" s="39">
        <f t="shared" si="1"/>
        <v>0.19925757252306744</v>
      </c>
    </row>
    <row r="96" spans="1:6" ht="15.75" x14ac:dyDescent="0.25">
      <c r="A96" s="72"/>
      <c r="B96" s="72"/>
      <c r="C96" s="37">
        <v>2021</v>
      </c>
      <c r="D96" s="38">
        <v>665850000000</v>
      </c>
      <c r="E96" s="38">
        <v>1099157000000</v>
      </c>
      <c r="F96" s="39">
        <f t="shared" si="1"/>
        <v>0.6057824314451894</v>
      </c>
    </row>
    <row r="97" spans="1:6" ht="15.75" x14ac:dyDescent="0.25">
      <c r="A97" s="72"/>
      <c r="B97" s="72"/>
      <c r="C97" s="37">
        <v>2022</v>
      </c>
      <c r="D97" s="38">
        <v>924906000000</v>
      </c>
      <c r="E97" s="38">
        <v>1073275000000</v>
      </c>
      <c r="F97" s="39">
        <f t="shared" si="1"/>
        <v>0.86176049940602362</v>
      </c>
    </row>
    <row r="98" spans="1:6" ht="15.75" x14ac:dyDescent="0.25">
      <c r="A98" s="72"/>
      <c r="B98" s="72"/>
      <c r="C98" s="37">
        <v>2023</v>
      </c>
      <c r="D98" s="38">
        <v>1066467000000</v>
      </c>
      <c r="E98" s="38">
        <v>1391455000000</v>
      </c>
      <c r="F98" s="39">
        <f t="shared" si="1"/>
        <v>0.76644016515086721</v>
      </c>
    </row>
    <row r="99" spans="1:6" ht="15.75" x14ac:dyDescent="0.25">
      <c r="A99" s="72"/>
      <c r="B99" s="72"/>
      <c r="C99" s="40">
        <v>2024</v>
      </c>
      <c r="D99" s="38">
        <v>1142246000000</v>
      </c>
      <c r="E99" s="38">
        <v>1316885000000</v>
      </c>
      <c r="F99" s="39">
        <f t="shared" si="1"/>
        <v>0.86738477543597203</v>
      </c>
    </row>
    <row r="100" spans="1:6" ht="15.75" x14ac:dyDescent="0.25">
      <c r="A100" s="66">
        <v>20</v>
      </c>
      <c r="B100" s="68" t="s">
        <v>172</v>
      </c>
      <c r="C100" s="37">
        <v>2020</v>
      </c>
      <c r="D100" s="38">
        <v>2098168514645</v>
      </c>
      <c r="E100" s="38">
        <v>11271468049958</v>
      </c>
      <c r="F100" s="39">
        <f t="shared" si="1"/>
        <v>0.18614864588582303</v>
      </c>
    </row>
    <row r="101" spans="1:6" ht="15.75" x14ac:dyDescent="0.25">
      <c r="A101" s="72"/>
      <c r="B101" s="72"/>
      <c r="C101" s="37">
        <v>2021</v>
      </c>
      <c r="D101" s="38">
        <v>1211052647953</v>
      </c>
      <c r="E101" s="38">
        <v>11360031396135</v>
      </c>
      <c r="F101" s="39">
        <f t="shared" si="1"/>
        <v>0.10660645254598802</v>
      </c>
    </row>
    <row r="102" spans="1:6" ht="15.75" x14ac:dyDescent="0.25">
      <c r="A102" s="72"/>
      <c r="B102" s="72"/>
      <c r="C102" s="37">
        <v>2022</v>
      </c>
      <c r="D102" s="38">
        <v>1970064538149</v>
      </c>
      <c r="E102" s="38">
        <v>12834694090515</v>
      </c>
      <c r="F102" s="39">
        <f t="shared" si="1"/>
        <v>0.15349524688748931</v>
      </c>
    </row>
    <row r="103" spans="1:6" ht="15.75" x14ac:dyDescent="0.25">
      <c r="A103" s="72"/>
      <c r="B103" s="72"/>
      <c r="C103" s="37">
        <v>2023</v>
      </c>
      <c r="D103" s="38">
        <v>3244872091221</v>
      </c>
      <c r="E103" s="38">
        <v>15282089186736</v>
      </c>
      <c r="F103" s="39">
        <f t="shared" si="1"/>
        <v>0.21233170750222868</v>
      </c>
    </row>
    <row r="104" spans="1:6" ht="15.75" x14ac:dyDescent="0.25">
      <c r="A104" s="72"/>
      <c r="B104" s="72"/>
      <c r="C104" s="40">
        <v>2024</v>
      </c>
      <c r="D104" s="38">
        <v>3067667675407</v>
      </c>
      <c r="E104" s="38">
        <v>17102428334570</v>
      </c>
      <c r="F104" s="39">
        <f t="shared" si="1"/>
        <v>0.17937029849767994</v>
      </c>
    </row>
    <row r="105" spans="1:6" ht="15.75" x14ac:dyDescent="0.25">
      <c r="A105" s="66">
        <v>21</v>
      </c>
      <c r="B105" s="68" t="s">
        <v>173</v>
      </c>
      <c r="C105" s="37">
        <v>2020</v>
      </c>
      <c r="D105" s="38">
        <v>168610282478</v>
      </c>
      <c r="E105" s="38">
        <v>3246596715011</v>
      </c>
      <c r="F105" s="39">
        <f t="shared" si="1"/>
        <v>5.1934470856331391E-2</v>
      </c>
    </row>
    <row r="106" spans="1:6" ht="15.75" x14ac:dyDescent="0.25">
      <c r="A106" s="72"/>
      <c r="B106" s="72"/>
      <c r="C106" s="37">
        <v>2021</v>
      </c>
      <c r="D106" s="38">
        <v>283602993676</v>
      </c>
      <c r="E106" s="38">
        <v>2869591202766</v>
      </c>
      <c r="F106" s="39">
        <f t="shared" si="1"/>
        <v>9.8830451320952958E-2</v>
      </c>
    </row>
    <row r="107" spans="1:6" ht="15.75" x14ac:dyDescent="0.25">
      <c r="A107" s="72"/>
      <c r="B107" s="72"/>
      <c r="C107" s="37">
        <v>2022</v>
      </c>
      <c r="D107" s="38">
        <v>432247722254</v>
      </c>
      <c r="E107" s="38">
        <v>2681158538764</v>
      </c>
      <c r="F107" s="39">
        <f t="shared" si="1"/>
        <v>0.16121677103557774</v>
      </c>
    </row>
    <row r="108" spans="1:6" ht="15.75" x14ac:dyDescent="0.25">
      <c r="A108" s="72"/>
      <c r="B108" s="72"/>
      <c r="C108" s="37">
        <v>2023</v>
      </c>
      <c r="D108" s="38">
        <v>333300420963</v>
      </c>
      <c r="E108" s="38">
        <v>2393431575281</v>
      </c>
      <c r="F108" s="39">
        <f t="shared" si="1"/>
        <v>0.13925629811408707</v>
      </c>
    </row>
    <row r="109" spans="1:6" ht="15.75" x14ac:dyDescent="0.25">
      <c r="A109" s="72"/>
      <c r="B109" s="72"/>
      <c r="C109" s="40">
        <v>2024</v>
      </c>
      <c r="D109" s="38">
        <v>362195698480</v>
      </c>
      <c r="E109" s="38">
        <v>2308155193504</v>
      </c>
      <c r="F109" s="39">
        <f t="shared" si="1"/>
        <v>0.1569199937245781</v>
      </c>
    </row>
    <row r="110" spans="1:6" ht="15.75" x14ac:dyDescent="0.25">
      <c r="A110" s="66">
        <v>22</v>
      </c>
      <c r="B110" s="68" t="s">
        <v>174</v>
      </c>
      <c r="C110" s="37">
        <v>2020</v>
      </c>
      <c r="D110" s="38">
        <v>2804331066</v>
      </c>
      <c r="E110" s="38">
        <v>229196488586</v>
      </c>
      <c r="F110" s="39">
        <f t="shared" si="1"/>
        <v>1.2235488786503585E-2</v>
      </c>
    </row>
    <row r="111" spans="1:6" ht="15.75" x14ac:dyDescent="0.25">
      <c r="A111" s="72"/>
      <c r="B111" s="72"/>
      <c r="C111" s="37">
        <v>2021</v>
      </c>
      <c r="D111" s="38">
        <v>9571235584</v>
      </c>
      <c r="E111" s="38">
        <v>236979349790</v>
      </c>
      <c r="F111" s="39">
        <f t="shared" si="1"/>
        <v>4.0388479386417341E-2</v>
      </c>
    </row>
    <row r="112" spans="1:6" ht="15.75" x14ac:dyDescent="0.25">
      <c r="A112" s="72"/>
      <c r="B112" s="72"/>
      <c r="C112" s="37">
        <v>2022</v>
      </c>
      <c r="D112" s="38">
        <v>24464054875</v>
      </c>
      <c r="E112" s="38">
        <v>258910138345</v>
      </c>
      <c r="F112" s="39">
        <f t="shared" si="1"/>
        <v>9.4488593731317835E-2</v>
      </c>
    </row>
    <row r="113" spans="1:6" ht="15.75" x14ac:dyDescent="0.25">
      <c r="A113" s="72"/>
      <c r="B113" s="72"/>
      <c r="C113" s="37">
        <v>2023</v>
      </c>
      <c r="D113" s="38">
        <v>33081201848</v>
      </c>
      <c r="E113" s="38">
        <v>277713387566</v>
      </c>
      <c r="F113" s="39">
        <f t="shared" si="1"/>
        <v>0.11911993922200846</v>
      </c>
    </row>
    <row r="114" spans="1:6" ht="15.75" x14ac:dyDescent="0.25">
      <c r="A114" s="72"/>
      <c r="B114" s="72"/>
      <c r="C114" s="40">
        <v>2024</v>
      </c>
      <c r="D114" s="38">
        <v>16914132122</v>
      </c>
      <c r="E114" s="38">
        <v>282496920009</v>
      </c>
      <c r="F114" s="39">
        <f t="shared" si="1"/>
        <v>5.9873686840412763E-2</v>
      </c>
    </row>
    <row r="115" spans="1:6" ht="15.75" x14ac:dyDescent="0.25">
      <c r="A115" s="66">
        <v>23</v>
      </c>
      <c r="B115" s="68" t="s">
        <v>175</v>
      </c>
      <c r="C115" s="37">
        <v>2020</v>
      </c>
      <c r="D115" s="38">
        <v>42520246722</v>
      </c>
      <c r="E115" s="38">
        <v>406954570727</v>
      </c>
      <c r="F115" s="39">
        <f t="shared" si="1"/>
        <v>0.10448401315665315</v>
      </c>
    </row>
    <row r="116" spans="1:6" ht="15.75" x14ac:dyDescent="0.25">
      <c r="A116" s="72"/>
      <c r="B116" s="72"/>
      <c r="C116" s="37">
        <v>2021</v>
      </c>
      <c r="D116" s="38">
        <v>84524160228</v>
      </c>
      <c r="E116" s="38">
        <v>541837229228</v>
      </c>
      <c r="F116" s="39">
        <f t="shared" si="1"/>
        <v>0.15599548290254717</v>
      </c>
    </row>
    <row r="117" spans="1:6" ht="15.75" x14ac:dyDescent="0.25">
      <c r="A117" s="72"/>
      <c r="B117" s="72"/>
      <c r="C117" s="37">
        <v>2022</v>
      </c>
      <c r="D117" s="38">
        <v>74865302076</v>
      </c>
      <c r="E117" s="38">
        <v>590753527421</v>
      </c>
      <c r="F117" s="39">
        <f t="shared" si="1"/>
        <v>0.12672848929541355</v>
      </c>
    </row>
    <row r="118" spans="1:6" ht="15.75" x14ac:dyDescent="0.25">
      <c r="A118" s="72"/>
      <c r="B118" s="72"/>
      <c r="C118" s="37">
        <v>2023</v>
      </c>
      <c r="D118" s="38">
        <v>78089597225</v>
      </c>
      <c r="E118" s="38">
        <v>816943780892</v>
      </c>
      <c r="F118" s="39">
        <f t="shared" si="1"/>
        <v>9.5587479887215707E-2</v>
      </c>
    </row>
    <row r="119" spans="1:6" ht="15.75" x14ac:dyDescent="0.25">
      <c r="A119" s="72"/>
      <c r="B119" s="72"/>
      <c r="C119" s="40">
        <v>2024</v>
      </c>
      <c r="D119" s="38">
        <v>119048716890</v>
      </c>
      <c r="E119" s="38">
        <v>914626499902</v>
      </c>
      <c r="F119" s="39">
        <f t="shared" si="1"/>
        <v>0.13016101862646204</v>
      </c>
    </row>
    <row r="120" spans="1:6" ht="15.75" x14ac:dyDescent="0.25">
      <c r="A120" s="66">
        <v>24</v>
      </c>
      <c r="B120" s="68" t="s">
        <v>176</v>
      </c>
      <c r="C120" s="37">
        <v>2020</v>
      </c>
      <c r="D120" s="38">
        <v>1539798000000</v>
      </c>
      <c r="E120" s="38">
        <v>12523681000000</v>
      </c>
      <c r="F120" s="39">
        <f t="shared" si="1"/>
        <v>0.12295091195631699</v>
      </c>
    </row>
    <row r="121" spans="1:6" ht="15.75" x14ac:dyDescent="0.25">
      <c r="A121" s="72"/>
      <c r="B121" s="72"/>
      <c r="C121" s="37">
        <v>2021</v>
      </c>
      <c r="D121" s="38">
        <v>2829418000000</v>
      </c>
      <c r="E121" s="38">
        <v>14417829000000</v>
      </c>
      <c r="F121" s="39">
        <f t="shared" si="1"/>
        <v>0.19624438603065691</v>
      </c>
    </row>
    <row r="122" spans="1:6" ht="15.75" x14ac:dyDescent="0.25">
      <c r="A122" s="72"/>
      <c r="B122" s="72"/>
      <c r="C122" s="37">
        <v>2022</v>
      </c>
      <c r="D122" s="38">
        <v>5504956000000</v>
      </c>
      <c r="E122" s="38">
        <v>19247803000000</v>
      </c>
      <c r="F122" s="39">
        <f t="shared" si="1"/>
        <v>0.28600438190270339</v>
      </c>
    </row>
    <row r="123" spans="1:6" ht="15.75" x14ac:dyDescent="0.25">
      <c r="A123" s="72"/>
      <c r="B123" s="72"/>
      <c r="C123" s="37">
        <v>2023</v>
      </c>
      <c r="D123" s="38">
        <v>917870000000</v>
      </c>
      <c r="E123" s="38">
        <v>19071863000000</v>
      </c>
      <c r="F123" s="39">
        <f t="shared" si="1"/>
        <v>4.8126918696930657E-2</v>
      </c>
    </row>
    <row r="124" spans="1:6" ht="15.75" x14ac:dyDescent="0.25">
      <c r="A124" s="72"/>
      <c r="B124" s="72"/>
      <c r="C124" s="40">
        <v>2024</v>
      </c>
      <c r="D124" s="38">
        <v>1278269000000</v>
      </c>
      <c r="E124" s="38">
        <v>19883057000000</v>
      </c>
      <c r="F124" s="39">
        <f t="shared" si="1"/>
        <v>6.4289359528567458E-2</v>
      </c>
    </row>
    <row r="125" spans="1:6" ht="15.75" x14ac:dyDescent="0.25">
      <c r="A125" s="66">
        <v>25</v>
      </c>
      <c r="B125" s="68" t="s">
        <v>177</v>
      </c>
      <c r="C125" s="37">
        <v>2020</v>
      </c>
      <c r="D125" s="38">
        <v>580854940000</v>
      </c>
      <c r="E125" s="38">
        <v>4870786420000</v>
      </c>
      <c r="F125" s="39">
        <f t="shared" si="1"/>
        <v>0.1192528043551538</v>
      </c>
    </row>
    <row r="126" spans="1:6" ht="15.75" x14ac:dyDescent="0.25">
      <c r="A126" s="72"/>
      <c r="B126" s="72"/>
      <c r="C126" s="37">
        <v>2021</v>
      </c>
      <c r="D126" s="38">
        <v>1526870874000</v>
      </c>
      <c r="E126" s="38">
        <v>1455683027000</v>
      </c>
      <c r="F126" s="39">
        <f t="shared" si="1"/>
        <v>1.0489033983907268</v>
      </c>
    </row>
    <row r="127" spans="1:6" ht="15.75" x14ac:dyDescent="0.25">
      <c r="A127" s="72"/>
      <c r="B127" s="72"/>
      <c r="C127" s="37">
        <v>2022</v>
      </c>
      <c r="D127" s="38">
        <v>1848118978000</v>
      </c>
      <c r="E127" s="38">
        <v>2044503891000</v>
      </c>
      <c r="F127" s="39">
        <f t="shared" si="1"/>
        <v>0.90394495512358997</v>
      </c>
    </row>
    <row r="128" spans="1:6" ht="15.75" x14ac:dyDescent="0.25">
      <c r="A128" s="72"/>
      <c r="B128" s="72"/>
      <c r="C128" s="37">
        <v>2023</v>
      </c>
      <c r="D128" s="38">
        <v>518314064000</v>
      </c>
      <c r="E128" s="38">
        <v>1989962060000</v>
      </c>
      <c r="F128" s="39">
        <f t="shared" si="1"/>
        <v>0.26046429448006664</v>
      </c>
    </row>
    <row r="129" spans="1:6" ht="15.75" x14ac:dyDescent="0.25">
      <c r="A129" s="72"/>
      <c r="B129" s="72"/>
      <c r="C129" s="40">
        <v>2024</v>
      </c>
      <c r="D129" s="38">
        <v>844691385000</v>
      </c>
      <c r="E129" s="38">
        <v>8873484995000</v>
      </c>
      <c r="F129" s="39">
        <f t="shared" si="1"/>
        <v>9.5192743941750479E-2</v>
      </c>
    </row>
    <row r="130" spans="1:6" ht="15.75" x14ac:dyDescent="0.25">
      <c r="A130" s="66">
        <v>26</v>
      </c>
      <c r="B130" s="68" t="s">
        <v>178</v>
      </c>
      <c r="C130" s="37">
        <v>2020</v>
      </c>
      <c r="D130" s="38">
        <v>628628879549</v>
      </c>
      <c r="E130" s="38">
        <v>2673298199144</v>
      </c>
      <c r="F130" s="39">
        <f t="shared" si="1"/>
        <v>0.2351510503954588</v>
      </c>
    </row>
    <row r="131" spans="1:6" ht="15.75" x14ac:dyDescent="0.25">
      <c r="A131" s="72"/>
      <c r="B131" s="72"/>
      <c r="C131" s="37">
        <v>2021</v>
      </c>
      <c r="D131" s="38">
        <v>617573766863</v>
      </c>
      <c r="E131" s="38">
        <v>3300848622529</v>
      </c>
      <c r="F131" s="39">
        <f t="shared" si="1"/>
        <v>0.18709545255966195</v>
      </c>
    </row>
    <row r="132" spans="1:6" ht="15.75" x14ac:dyDescent="0.25">
      <c r="A132" s="72"/>
      <c r="B132" s="72"/>
      <c r="C132" s="37">
        <v>2022</v>
      </c>
      <c r="D132" s="38">
        <v>624524005786</v>
      </c>
      <c r="E132" s="38">
        <v>3928398773915</v>
      </c>
      <c r="F132" s="39">
        <f t="shared" si="1"/>
        <v>0.15897673370964988</v>
      </c>
    </row>
    <row r="133" spans="1:6" ht="15.75" x14ac:dyDescent="0.25">
      <c r="A133" s="72"/>
      <c r="B133" s="72"/>
      <c r="C133" s="37">
        <v>2023</v>
      </c>
      <c r="D133" s="38">
        <v>917794022711</v>
      </c>
      <c r="E133" s="38">
        <v>4847511375575</v>
      </c>
      <c r="F133" s="39">
        <f t="shared" si="1"/>
        <v>0.18933303124061954</v>
      </c>
    </row>
    <row r="134" spans="1:6" ht="15.75" x14ac:dyDescent="0.25">
      <c r="A134" s="72"/>
      <c r="B134" s="72"/>
      <c r="C134" s="40">
        <v>2024</v>
      </c>
      <c r="D134" s="38">
        <v>1314430773948</v>
      </c>
      <c r="E134" s="38">
        <v>6146072005236</v>
      </c>
      <c r="F134" s="39">
        <f t="shared" ref="F134:F197" si="2">D134/E134</f>
        <v>0.21386517646200726</v>
      </c>
    </row>
    <row r="135" spans="1:6" ht="15.75" x14ac:dyDescent="0.25">
      <c r="A135" s="66">
        <v>27</v>
      </c>
      <c r="B135" s="68" t="s">
        <v>179</v>
      </c>
      <c r="C135" s="37">
        <v>2020</v>
      </c>
      <c r="D135" s="38">
        <v>680730000000</v>
      </c>
      <c r="E135" s="38">
        <v>5888856000000</v>
      </c>
      <c r="F135" s="39">
        <f t="shared" si="2"/>
        <v>0.11559630597182204</v>
      </c>
    </row>
    <row r="136" spans="1:6" ht="15.75" x14ac:dyDescent="0.25">
      <c r="A136" s="72"/>
      <c r="B136" s="72"/>
      <c r="C136" s="37">
        <v>2021</v>
      </c>
      <c r="D136" s="38">
        <v>791916000000</v>
      </c>
      <c r="E136" s="38">
        <v>6492354000000</v>
      </c>
      <c r="F136" s="39">
        <f t="shared" si="2"/>
        <v>0.12197671291491499</v>
      </c>
    </row>
    <row r="137" spans="1:6" ht="15.75" x14ac:dyDescent="0.25">
      <c r="A137" s="72"/>
      <c r="B137" s="72"/>
      <c r="C137" s="37">
        <v>2022</v>
      </c>
      <c r="D137" s="38">
        <v>801440000000</v>
      </c>
      <c r="E137" s="38">
        <v>6832234000000</v>
      </c>
      <c r="F137" s="39">
        <f t="shared" si="2"/>
        <v>0.11730277388040281</v>
      </c>
    </row>
    <row r="138" spans="1:6" ht="15.75" x14ac:dyDescent="0.25">
      <c r="A138" s="72"/>
      <c r="B138" s="72"/>
      <c r="C138" s="37">
        <v>2023</v>
      </c>
      <c r="D138" s="38">
        <v>612218000000</v>
      </c>
      <c r="E138" s="38">
        <v>8202858000000</v>
      </c>
      <c r="F138" s="39">
        <f t="shared" si="2"/>
        <v>7.4634718777284698E-2</v>
      </c>
    </row>
    <row r="139" spans="1:6" ht="15.75" x14ac:dyDescent="0.25">
      <c r="A139" s="72"/>
      <c r="B139" s="72"/>
      <c r="C139" s="40">
        <v>2024</v>
      </c>
      <c r="D139" s="38">
        <v>701020000000</v>
      </c>
      <c r="E139" s="38">
        <v>8448434000000</v>
      </c>
      <c r="F139" s="39">
        <f t="shared" si="2"/>
        <v>8.2976324369699761E-2</v>
      </c>
    </row>
    <row r="140" spans="1:6" ht="15.75" x14ac:dyDescent="0.25">
      <c r="A140" s="66">
        <v>28</v>
      </c>
      <c r="B140" s="68" t="s">
        <v>180</v>
      </c>
      <c r="C140" s="37">
        <v>2020</v>
      </c>
      <c r="D140" s="38">
        <v>478561152411</v>
      </c>
      <c r="E140" s="38">
        <v>1598672228267</v>
      </c>
      <c r="F140" s="39">
        <f t="shared" si="2"/>
        <v>0.29934913733365598</v>
      </c>
    </row>
    <row r="141" spans="1:6" ht="15.75" x14ac:dyDescent="0.25">
      <c r="A141" s="72"/>
      <c r="B141" s="72"/>
      <c r="C141" s="37">
        <v>2021</v>
      </c>
      <c r="D141" s="38">
        <v>481109483989</v>
      </c>
      <c r="E141" s="38">
        <v>1760590755177</v>
      </c>
      <c r="F141" s="39">
        <f t="shared" si="2"/>
        <v>0.27326593790993292</v>
      </c>
    </row>
    <row r="142" spans="1:6" ht="15.75" x14ac:dyDescent="0.25">
      <c r="A142" s="72"/>
      <c r="B142" s="72"/>
      <c r="C142" s="37">
        <v>2022</v>
      </c>
      <c r="D142" s="38">
        <v>478266312889</v>
      </c>
      <c r="E142" s="38">
        <v>2045289129558</v>
      </c>
      <c r="F142" s="39">
        <f t="shared" si="2"/>
        <v>0.23383799677865416</v>
      </c>
    </row>
    <row r="143" spans="1:6" ht="15.75" x14ac:dyDescent="0.25">
      <c r="A143" s="72"/>
      <c r="B143" s="72"/>
      <c r="C143" s="37">
        <v>2023</v>
      </c>
      <c r="D143" s="38">
        <v>441099000000</v>
      </c>
      <c r="E143" s="38">
        <v>2200352000000</v>
      </c>
      <c r="F143" s="39">
        <f t="shared" si="2"/>
        <v>0.20046747065923998</v>
      </c>
    </row>
    <row r="144" spans="1:6" ht="15.75" x14ac:dyDescent="0.25">
      <c r="A144" s="72"/>
      <c r="B144" s="72"/>
      <c r="C144" s="40">
        <v>2024</v>
      </c>
      <c r="D144" s="38">
        <v>402417000000</v>
      </c>
      <c r="E144" s="38">
        <v>2319126000000</v>
      </c>
      <c r="F144" s="39">
        <f t="shared" si="2"/>
        <v>0.17352097298723743</v>
      </c>
    </row>
    <row r="145" spans="1:6" ht="15.75" x14ac:dyDescent="0.25">
      <c r="A145" s="66">
        <v>29</v>
      </c>
      <c r="B145" s="68" t="s">
        <v>181</v>
      </c>
      <c r="C145" s="37">
        <v>2020</v>
      </c>
      <c r="D145" s="38">
        <v>1109666000000</v>
      </c>
      <c r="E145" s="38">
        <v>4781737000000</v>
      </c>
      <c r="F145" s="39">
        <f t="shared" si="2"/>
        <v>0.23206336944085382</v>
      </c>
    </row>
    <row r="146" spans="1:6" ht="15.75" x14ac:dyDescent="0.25">
      <c r="A146" s="72"/>
      <c r="B146" s="72"/>
      <c r="C146" s="37">
        <v>2021</v>
      </c>
      <c r="D146" s="38">
        <v>1276793000000</v>
      </c>
      <c r="E146" s="38">
        <v>5138126000000</v>
      </c>
      <c r="F146" s="39">
        <f t="shared" si="2"/>
        <v>0.24849390614399103</v>
      </c>
    </row>
    <row r="147" spans="1:6" ht="15.75" x14ac:dyDescent="0.25">
      <c r="A147" s="72"/>
      <c r="B147" s="72"/>
      <c r="C147" s="37">
        <v>2022</v>
      </c>
      <c r="D147" s="38">
        <v>965486000000</v>
      </c>
      <c r="E147" s="38">
        <v>5822679000000</v>
      </c>
      <c r="F147" s="39">
        <f t="shared" si="2"/>
        <v>0.16581473922914178</v>
      </c>
    </row>
    <row r="148" spans="1:6" ht="15.75" x14ac:dyDescent="0.25">
      <c r="A148" s="72"/>
      <c r="B148" s="72"/>
      <c r="C148" s="37">
        <v>2023</v>
      </c>
      <c r="D148" s="38">
        <v>1186161000000</v>
      </c>
      <c r="E148" s="38">
        <v>6686968000000</v>
      </c>
      <c r="F148" s="39">
        <f t="shared" si="2"/>
        <v>0.17738398030318075</v>
      </c>
    </row>
    <row r="149" spans="1:6" ht="15.75" x14ac:dyDescent="0.25">
      <c r="A149" s="72"/>
      <c r="B149" s="72"/>
      <c r="C149" s="40">
        <v>2024</v>
      </c>
      <c r="D149" s="38">
        <v>1153916000000</v>
      </c>
      <c r="E149" s="38">
        <v>7426918000000</v>
      </c>
      <c r="F149" s="39">
        <f t="shared" si="2"/>
        <v>0.15536942780302676</v>
      </c>
    </row>
    <row r="150" spans="1:6" ht="15.75" x14ac:dyDescent="0.25">
      <c r="A150" s="66">
        <v>30</v>
      </c>
      <c r="B150" s="68" t="s">
        <v>182</v>
      </c>
      <c r="C150" s="37">
        <v>2020</v>
      </c>
      <c r="D150" s="38">
        <v>7163536000000</v>
      </c>
      <c r="E150" s="38">
        <v>4937368000000</v>
      </c>
      <c r="F150" s="39">
        <f t="shared" si="2"/>
        <v>1.4508815223009506</v>
      </c>
    </row>
    <row r="151" spans="1:6" ht="15.75" x14ac:dyDescent="0.25">
      <c r="A151" s="72"/>
      <c r="B151" s="72"/>
      <c r="C151" s="37">
        <v>2021</v>
      </c>
      <c r="D151" s="38">
        <v>5758148000000</v>
      </c>
      <c r="E151" s="38">
        <v>4321269000000</v>
      </c>
      <c r="F151" s="39">
        <f t="shared" si="2"/>
        <v>1.332513203875991</v>
      </c>
    </row>
    <row r="152" spans="1:6" ht="15.75" x14ac:dyDescent="0.25">
      <c r="A152" s="72"/>
      <c r="B152" s="72"/>
      <c r="C152" s="37">
        <v>2022</v>
      </c>
      <c r="D152" s="38">
        <v>5364761000000</v>
      </c>
      <c r="E152" s="38">
        <v>3997256000000</v>
      </c>
      <c r="F152" s="39">
        <f t="shared" si="2"/>
        <v>1.342110938103539</v>
      </c>
    </row>
    <row r="153" spans="1:6" ht="15.75" x14ac:dyDescent="0.25">
      <c r="A153" s="72"/>
      <c r="B153" s="72"/>
      <c r="C153" s="37">
        <v>2023</v>
      </c>
      <c r="D153" s="38">
        <v>4800940000000</v>
      </c>
      <c r="E153" s="38">
        <v>3381238000000</v>
      </c>
      <c r="F153" s="39">
        <f t="shared" si="2"/>
        <v>1.4198763884707317</v>
      </c>
    </row>
    <row r="154" spans="1:6" ht="15.75" x14ac:dyDescent="0.25">
      <c r="A154" s="72"/>
      <c r="B154" s="72"/>
      <c r="C154" s="40">
        <v>2024</v>
      </c>
      <c r="D154" s="38">
        <v>3368693000000</v>
      </c>
      <c r="E154" s="38">
        <v>2149267000000</v>
      </c>
      <c r="F154" s="39">
        <f t="shared" si="2"/>
        <v>1.5673683167331001</v>
      </c>
    </row>
    <row r="155" spans="1:6" ht="15.75" x14ac:dyDescent="0.25">
      <c r="A155" s="66">
        <v>31</v>
      </c>
      <c r="B155" s="68" t="s">
        <v>183</v>
      </c>
      <c r="C155" s="37">
        <v>2020</v>
      </c>
      <c r="D155" s="38">
        <v>172506562986</v>
      </c>
      <c r="E155" s="38">
        <v>1185851841509</v>
      </c>
      <c r="F155" s="39">
        <f t="shared" si="2"/>
        <v>0.14547058658397399</v>
      </c>
    </row>
    <row r="156" spans="1:6" ht="15.75" x14ac:dyDescent="0.25">
      <c r="A156" s="72"/>
      <c r="B156" s="72"/>
      <c r="C156" s="37">
        <v>2021</v>
      </c>
      <c r="D156" s="38">
        <v>176877010231</v>
      </c>
      <c r="E156" s="38">
        <v>1318385158595</v>
      </c>
      <c r="F156" s="39">
        <f t="shared" si="2"/>
        <v>0.13416186391198262</v>
      </c>
    </row>
    <row r="157" spans="1:6" ht="15.75" x14ac:dyDescent="0.25">
      <c r="A157" s="72"/>
      <c r="B157" s="72"/>
      <c r="C157" s="37">
        <v>2022</v>
      </c>
      <c r="D157" s="38">
        <v>249644129079</v>
      </c>
      <c r="E157" s="38">
        <v>1500927506265</v>
      </c>
      <c r="F157" s="39">
        <f t="shared" si="2"/>
        <v>0.16632657342674048</v>
      </c>
    </row>
    <row r="158" spans="1:6" ht="15.75" x14ac:dyDescent="0.25">
      <c r="A158" s="72"/>
      <c r="B158" s="72"/>
      <c r="C158" s="37">
        <v>2023</v>
      </c>
      <c r="D158" s="38">
        <v>494729174306</v>
      </c>
      <c r="E158" s="38">
        <v>1847322308256</v>
      </c>
      <c r="F158" s="39">
        <f t="shared" si="2"/>
        <v>0.26780880201303831</v>
      </c>
    </row>
    <row r="159" spans="1:6" ht="15.75" x14ac:dyDescent="0.25">
      <c r="A159" s="72"/>
      <c r="B159" s="72"/>
      <c r="C159" s="40">
        <v>2024</v>
      </c>
      <c r="D159" s="41">
        <v>298713465870</v>
      </c>
      <c r="E159" s="38">
        <v>1916378498721</v>
      </c>
      <c r="F159" s="39">
        <f t="shared" si="2"/>
        <v>0.15587393934411325</v>
      </c>
    </row>
    <row r="160" spans="1:6" ht="15.75" x14ac:dyDescent="0.25">
      <c r="A160" s="66">
        <v>32</v>
      </c>
      <c r="B160" s="68" t="s">
        <v>184</v>
      </c>
      <c r="C160" s="37">
        <v>2020</v>
      </c>
      <c r="D160" s="38">
        <v>132772234495</v>
      </c>
      <c r="E160" s="38">
        <v>894746110680</v>
      </c>
      <c r="F160" s="39">
        <f t="shared" si="2"/>
        <v>0.14839096019550635</v>
      </c>
    </row>
    <row r="161" spans="1:6" ht="15.75" x14ac:dyDescent="0.25">
      <c r="A161" s="72"/>
      <c r="B161" s="72"/>
      <c r="C161" s="37">
        <v>2021</v>
      </c>
      <c r="D161" s="38">
        <v>180711667020</v>
      </c>
      <c r="E161" s="38">
        <v>1025649045711</v>
      </c>
      <c r="F161" s="39">
        <f t="shared" si="2"/>
        <v>0.17619249759524433</v>
      </c>
    </row>
    <row r="162" spans="1:6" ht="15.75" x14ac:dyDescent="0.25">
      <c r="A162" s="72"/>
      <c r="B162" s="72"/>
      <c r="C162" s="37">
        <v>2022</v>
      </c>
      <c r="D162" s="38">
        <v>192484018135</v>
      </c>
      <c r="E162" s="38">
        <v>1209171716345</v>
      </c>
      <c r="F162" s="39">
        <f t="shared" si="2"/>
        <v>0.15918666929857347</v>
      </c>
    </row>
    <row r="163" spans="1:6" ht="15.75" x14ac:dyDescent="0.25">
      <c r="A163" s="72"/>
      <c r="B163" s="72"/>
      <c r="C163" s="37">
        <v>2023</v>
      </c>
      <c r="D163" s="38">
        <v>305879961825</v>
      </c>
      <c r="E163" s="38">
        <v>1514585030778</v>
      </c>
      <c r="F163" s="39">
        <f t="shared" si="2"/>
        <v>0.20195628215596323</v>
      </c>
    </row>
    <row r="164" spans="1:6" ht="15.75" x14ac:dyDescent="0.25">
      <c r="A164" s="72"/>
      <c r="B164" s="72"/>
      <c r="C164" s="40">
        <v>2024</v>
      </c>
      <c r="D164" s="38">
        <v>474019249853</v>
      </c>
      <c r="E164" s="38">
        <v>1929776447634</v>
      </c>
      <c r="F164" s="39">
        <f t="shared" si="2"/>
        <v>0.24563428081743391</v>
      </c>
    </row>
    <row r="165" spans="1:6" ht="15.75" x14ac:dyDescent="0.25">
      <c r="A165" s="66">
        <v>33</v>
      </c>
      <c r="B165" s="68" t="s">
        <v>185</v>
      </c>
      <c r="C165" s="37">
        <v>2020</v>
      </c>
      <c r="D165" s="38">
        <v>44045828312</v>
      </c>
      <c r="E165" s="38">
        <v>961711929701</v>
      </c>
      <c r="F165" s="39">
        <f t="shared" si="2"/>
        <v>4.579939891740141E-2</v>
      </c>
    </row>
    <row r="166" spans="1:6" ht="15.75" x14ac:dyDescent="0.25">
      <c r="A166" s="72"/>
      <c r="B166" s="72"/>
      <c r="C166" s="37">
        <v>2021</v>
      </c>
      <c r="D166" s="38">
        <v>99278807290</v>
      </c>
      <c r="E166" s="38">
        <v>1022814971131</v>
      </c>
      <c r="F166" s="39">
        <f t="shared" si="2"/>
        <v>9.7064288353366876E-2</v>
      </c>
    </row>
    <row r="167" spans="1:6" ht="15.75" x14ac:dyDescent="0.25">
      <c r="A167" s="72"/>
      <c r="B167" s="72"/>
      <c r="C167" s="37">
        <v>2022</v>
      </c>
      <c r="D167" s="38">
        <v>121257336904</v>
      </c>
      <c r="E167" s="38">
        <v>941454031015</v>
      </c>
      <c r="F167" s="39">
        <f t="shared" si="2"/>
        <v>0.12879793692451461</v>
      </c>
    </row>
    <row r="168" spans="1:6" ht="15.75" x14ac:dyDescent="0.25">
      <c r="A168" s="72"/>
      <c r="B168" s="72"/>
      <c r="C168" s="37">
        <v>2023</v>
      </c>
      <c r="D168" s="38">
        <v>127426464539</v>
      </c>
      <c r="E168" s="38">
        <v>952639271054</v>
      </c>
      <c r="F168" s="39">
        <f t="shared" si="2"/>
        <v>0.13376150701620287</v>
      </c>
    </row>
    <row r="169" spans="1:6" ht="15.75" x14ac:dyDescent="0.25">
      <c r="A169" s="72"/>
      <c r="B169" s="72"/>
      <c r="C169" s="40">
        <v>2024</v>
      </c>
      <c r="D169" s="38">
        <v>97110136525</v>
      </c>
      <c r="E169" s="38">
        <v>934979192879</v>
      </c>
      <c r="F169" s="39">
        <f t="shared" si="2"/>
        <v>0.10386341991844461</v>
      </c>
    </row>
    <row r="170" spans="1:6" ht="15.75" x14ac:dyDescent="0.25">
      <c r="A170" s="66">
        <v>34</v>
      </c>
      <c r="B170" s="69" t="s">
        <v>186</v>
      </c>
      <c r="C170" s="37">
        <v>2020</v>
      </c>
      <c r="D170" s="38">
        <v>245103761907</v>
      </c>
      <c r="E170" s="38">
        <v>2956960513535</v>
      </c>
      <c r="F170" s="39">
        <f t="shared" si="2"/>
        <v>8.2890441311298496E-2</v>
      </c>
    </row>
    <row r="171" spans="1:6" ht="15.75" x14ac:dyDescent="0.25">
      <c r="A171" s="72"/>
      <c r="B171" s="73"/>
      <c r="C171" s="37">
        <v>2021</v>
      </c>
      <c r="D171" s="38">
        <v>492637672186</v>
      </c>
      <c r="E171" s="38">
        <v>3030658030412</v>
      </c>
      <c r="F171" s="39">
        <f t="shared" si="2"/>
        <v>0.16255138892032264</v>
      </c>
    </row>
    <row r="172" spans="1:6" ht="15.75" x14ac:dyDescent="0.25">
      <c r="A172" s="72"/>
      <c r="B172" s="73"/>
      <c r="C172" s="37">
        <v>2022</v>
      </c>
      <c r="D172" s="38">
        <v>521714035585</v>
      </c>
      <c r="E172" s="38">
        <v>3351444502184</v>
      </c>
      <c r="F172" s="39">
        <f t="shared" si="2"/>
        <v>0.1556684096200967</v>
      </c>
    </row>
    <row r="173" spans="1:6" ht="15.75" x14ac:dyDescent="0.25">
      <c r="A173" s="72"/>
      <c r="B173" s="73"/>
      <c r="C173" s="37">
        <v>2023</v>
      </c>
      <c r="D173" s="38">
        <v>601467293291</v>
      </c>
      <c r="E173" s="38">
        <v>3909211386219</v>
      </c>
      <c r="F173" s="39">
        <f t="shared" si="2"/>
        <v>0.15385898429829881</v>
      </c>
    </row>
    <row r="174" spans="1:6" ht="15.75" x14ac:dyDescent="0.25">
      <c r="A174" s="72"/>
      <c r="B174" s="73"/>
      <c r="C174" s="40">
        <v>2024</v>
      </c>
      <c r="D174" s="38">
        <v>687194544484</v>
      </c>
      <c r="E174" s="38">
        <v>4005836794768</v>
      </c>
      <c r="F174" s="39">
        <f t="shared" si="2"/>
        <v>0.17154831304698703</v>
      </c>
    </row>
    <row r="175" spans="1:6" ht="15.75" x14ac:dyDescent="0.25">
      <c r="A175" s="66">
        <v>35</v>
      </c>
      <c r="B175" s="68" t="s">
        <v>189</v>
      </c>
      <c r="C175" s="37">
        <v>2020</v>
      </c>
      <c r="D175" s="38">
        <v>6120040212</v>
      </c>
      <c r="E175" s="38">
        <v>279826257009</v>
      </c>
      <c r="F175" s="39">
        <f t="shared" si="2"/>
        <v>2.1870857572179735E-2</v>
      </c>
    </row>
    <row r="176" spans="1:6" ht="15.75" x14ac:dyDescent="0.25">
      <c r="A176" s="72"/>
      <c r="B176" s="72"/>
      <c r="C176" s="37">
        <v>2021</v>
      </c>
      <c r="D176" s="38">
        <v>18368616642</v>
      </c>
      <c r="E176" s="38">
        <v>324679509187</v>
      </c>
      <c r="F176" s="39">
        <f t="shared" si="2"/>
        <v>5.6574610107041116E-2</v>
      </c>
    </row>
    <row r="177" spans="1:6" ht="15.75" x14ac:dyDescent="0.25">
      <c r="A177" s="72"/>
      <c r="B177" s="72"/>
      <c r="C177" s="37">
        <v>2022</v>
      </c>
      <c r="D177" s="38">
        <v>23952323176</v>
      </c>
      <c r="E177" s="38">
        <v>364321203318</v>
      </c>
      <c r="F177" s="39">
        <f t="shared" si="2"/>
        <v>6.5745070442943906E-2</v>
      </c>
    </row>
    <row r="178" spans="1:6" ht="15.75" x14ac:dyDescent="0.25">
      <c r="A178" s="72"/>
      <c r="B178" s="72"/>
      <c r="C178" s="37">
        <v>2023</v>
      </c>
      <c r="D178" s="38">
        <v>26963627275</v>
      </c>
      <c r="E178" s="38">
        <v>397931210948</v>
      </c>
      <c r="F178" s="39">
        <f t="shared" si="2"/>
        <v>6.7759518562929444E-2</v>
      </c>
    </row>
    <row r="179" spans="1:6" ht="15.75" x14ac:dyDescent="0.25">
      <c r="A179" s="72"/>
      <c r="B179" s="72"/>
      <c r="C179" s="40">
        <v>2024</v>
      </c>
      <c r="D179" s="38">
        <v>21241244212</v>
      </c>
      <c r="E179" s="38">
        <v>433296166019</v>
      </c>
      <c r="F179" s="39">
        <f t="shared" si="2"/>
        <v>4.9022460565849024E-2</v>
      </c>
    </row>
    <row r="180" spans="1:6" ht="15.75" x14ac:dyDescent="0.25">
      <c r="A180" s="66">
        <v>36</v>
      </c>
      <c r="B180" s="68" t="s">
        <v>187</v>
      </c>
      <c r="C180" s="37">
        <v>2020</v>
      </c>
      <c r="D180" s="38">
        <v>121000016429</v>
      </c>
      <c r="E180" s="38">
        <v>440900964118</v>
      </c>
      <c r="F180" s="39">
        <f t="shared" si="2"/>
        <v>0.27443808536698122</v>
      </c>
    </row>
    <row r="181" spans="1:6" ht="15.75" x14ac:dyDescent="0.25">
      <c r="A181" s="72"/>
      <c r="B181" s="72"/>
      <c r="C181" s="37">
        <v>2021</v>
      </c>
      <c r="D181" s="38">
        <v>144700268968</v>
      </c>
      <c r="E181" s="38">
        <v>585825528987</v>
      </c>
      <c r="F181" s="39">
        <f t="shared" si="2"/>
        <v>0.24700232715739337</v>
      </c>
    </row>
    <row r="182" spans="1:6" ht="15.75" x14ac:dyDescent="0.25">
      <c r="A182" s="72"/>
      <c r="B182" s="72"/>
      <c r="C182" s="37">
        <v>2022</v>
      </c>
      <c r="D182" s="38">
        <v>117370750383</v>
      </c>
      <c r="E182" s="38">
        <v>703505819337</v>
      </c>
      <c r="F182" s="39">
        <f t="shared" si="2"/>
        <v>0.16683692893061336</v>
      </c>
    </row>
    <row r="183" spans="1:6" ht="15.75" x14ac:dyDescent="0.25">
      <c r="A183" s="72"/>
      <c r="B183" s="72"/>
      <c r="C183" s="37">
        <v>2023</v>
      </c>
      <c r="D183" s="38">
        <v>80342415257</v>
      </c>
      <c r="E183" s="38">
        <v>670772958412</v>
      </c>
      <c r="F183" s="39">
        <f t="shared" si="2"/>
        <v>0.11977587088066889</v>
      </c>
    </row>
    <row r="184" spans="1:6" ht="15.75" x14ac:dyDescent="0.25">
      <c r="A184" s="72"/>
      <c r="B184" s="72"/>
      <c r="C184" s="40">
        <v>2024</v>
      </c>
      <c r="D184" s="38">
        <v>146880537264</v>
      </c>
      <c r="E184" s="38">
        <v>739867728601</v>
      </c>
      <c r="F184" s="39">
        <f t="shared" si="2"/>
        <v>0.19852269748504001</v>
      </c>
    </row>
    <row r="185" spans="1:6" ht="15.75" x14ac:dyDescent="0.25">
      <c r="A185" s="66">
        <v>37</v>
      </c>
      <c r="B185" s="68" t="s">
        <v>188</v>
      </c>
      <c r="C185" s="37">
        <v>2020</v>
      </c>
      <c r="D185" s="38">
        <v>311682000000</v>
      </c>
      <c r="E185" s="38">
        <v>4494640000000</v>
      </c>
      <c r="F185" s="39">
        <f t="shared" si="2"/>
        <v>6.9345264581813004E-2</v>
      </c>
    </row>
    <row r="186" spans="1:6" ht="15.75" x14ac:dyDescent="0.25">
      <c r="A186" s="72"/>
      <c r="B186" s="72"/>
      <c r="C186" s="37">
        <v>2021</v>
      </c>
      <c r="D186" s="38">
        <v>480060000000</v>
      </c>
      <c r="E186" s="38">
        <v>4940631000000</v>
      </c>
      <c r="F186" s="39">
        <f t="shared" si="2"/>
        <v>9.7165726402153901E-2</v>
      </c>
    </row>
    <row r="187" spans="1:6" ht="15.75" x14ac:dyDescent="0.25">
      <c r="A187" s="72"/>
      <c r="B187" s="72"/>
      <c r="C187" s="37">
        <v>2022</v>
      </c>
      <c r="D187" s="38">
        <v>313648000000</v>
      </c>
      <c r="E187" s="38">
        <v>5163753000000</v>
      </c>
      <c r="F187" s="39">
        <f t="shared" si="2"/>
        <v>6.0740318136828002E-2</v>
      </c>
    </row>
    <row r="188" spans="1:6" ht="15.75" x14ac:dyDescent="0.25">
      <c r="A188" s="72"/>
      <c r="B188" s="72"/>
      <c r="C188" s="37">
        <v>2023</v>
      </c>
      <c r="D188" s="38">
        <v>434532000000</v>
      </c>
      <c r="E188" s="38">
        <v>5563650000000</v>
      </c>
      <c r="F188" s="39">
        <f t="shared" si="2"/>
        <v>7.8101965436359222E-2</v>
      </c>
    </row>
    <row r="189" spans="1:6" ht="15.75" x14ac:dyDescent="0.25">
      <c r="A189" s="72"/>
      <c r="B189" s="72"/>
      <c r="C189" s="40">
        <v>2024</v>
      </c>
      <c r="D189" s="38">
        <v>350441000000</v>
      </c>
      <c r="E189" s="38">
        <v>5867170000000</v>
      </c>
      <c r="F189" s="39">
        <f t="shared" si="2"/>
        <v>5.9729136875188549E-2</v>
      </c>
    </row>
    <row r="190" spans="1:6" ht="15.75" x14ac:dyDescent="0.25">
      <c r="A190" s="66">
        <v>38</v>
      </c>
      <c r="B190" s="68" t="s">
        <v>190</v>
      </c>
      <c r="C190" s="37">
        <v>2020</v>
      </c>
      <c r="D190" s="38">
        <v>72366649338</v>
      </c>
      <c r="E190" s="38">
        <v>572281469466</v>
      </c>
      <c r="F190" s="39">
        <f t="shared" si="2"/>
        <v>0.12645289634404178</v>
      </c>
    </row>
    <row r="191" spans="1:6" ht="15.75" x14ac:dyDescent="0.25">
      <c r="A191" s="72"/>
      <c r="B191" s="72"/>
      <c r="C191" s="37">
        <v>2021</v>
      </c>
      <c r="D191" s="38">
        <v>259650288797</v>
      </c>
      <c r="E191" s="38">
        <v>781292859465</v>
      </c>
      <c r="F191" s="39">
        <f t="shared" si="2"/>
        <v>0.33233413777107701</v>
      </c>
    </row>
    <row r="192" spans="1:6" ht="15.75" x14ac:dyDescent="0.25">
      <c r="A192" s="72"/>
      <c r="B192" s="72"/>
      <c r="C192" s="37">
        <v>2022</v>
      </c>
      <c r="D192" s="38">
        <v>252406668731</v>
      </c>
      <c r="E192" s="38">
        <v>1835253997038</v>
      </c>
      <c r="F192" s="39">
        <f t="shared" si="2"/>
        <v>0.13753228116564281</v>
      </c>
    </row>
    <row r="193" spans="1:6" ht="15.75" x14ac:dyDescent="0.25">
      <c r="A193" s="72"/>
      <c r="B193" s="72"/>
      <c r="C193" s="37">
        <v>2023</v>
      </c>
      <c r="D193" s="38">
        <v>146138989067</v>
      </c>
      <c r="E193" s="38">
        <v>1115171555082</v>
      </c>
      <c r="F193" s="39">
        <f t="shared" si="2"/>
        <v>0.13104619500113973</v>
      </c>
    </row>
    <row r="194" spans="1:6" ht="15.75" x14ac:dyDescent="0.25">
      <c r="A194" s="72"/>
      <c r="B194" s="72"/>
      <c r="C194" s="40">
        <v>2024</v>
      </c>
      <c r="D194" s="38">
        <v>214854888133</v>
      </c>
      <c r="E194" s="38">
        <v>1298545253348</v>
      </c>
      <c r="F194" s="39">
        <f t="shared" si="2"/>
        <v>0.16545814447286003</v>
      </c>
    </row>
    <row r="195" spans="1:6" ht="15.75" x14ac:dyDescent="0.25">
      <c r="A195" s="66">
        <v>39</v>
      </c>
      <c r="B195" s="68" t="s">
        <v>191</v>
      </c>
      <c r="C195" s="37">
        <v>2020</v>
      </c>
      <c r="D195" s="38">
        <v>205589000000</v>
      </c>
      <c r="E195" s="38">
        <v>4655596000000</v>
      </c>
      <c r="F195" s="39">
        <f t="shared" si="2"/>
        <v>4.4159544771496494E-2</v>
      </c>
    </row>
    <row r="196" spans="1:6" ht="15.75" x14ac:dyDescent="0.25">
      <c r="A196" s="72"/>
      <c r="B196" s="72"/>
      <c r="C196" s="37">
        <v>2021</v>
      </c>
      <c r="D196" s="38">
        <v>351470000000</v>
      </c>
      <c r="E196" s="38">
        <v>5019381000000</v>
      </c>
      <c r="F196" s="39">
        <f t="shared" si="2"/>
        <v>7.0022578481290815E-2</v>
      </c>
    </row>
    <row r="197" spans="1:6" ht="15.75" x14ac:dyDescent="0.25">
      <c r="A197" s="72"/>
      <c r="B197" s="72"/>
      <c r="C197" s="37">
        <v>2022</v>
      </c>
      <c r="D197" s="38">
        <v>382105000000</v>
      </c>
      <c r="E197" s="38">
        <v>5411262000000</v>
      </c>
      <c r="F197" s="39">
        <f t="shared" si="2"/>
        <v>7.0612918021711019E-2</v>
      </c>
    </row>
    <row r="198" spans="1:6" ht="15.75" x14ac:dyDescent="0.25">
      <c r="A198" s="72"/>
      <c r="B198" s="72"/>
      <c r="C198" s="37">
        <v>2023</v>
      </c>
      <c r="D198" s="38">
        <v>319078000000</v>
      </c>
      <c r="E198" s="38">
        <v>5831732000000</v>
      </c>
      <c r="F198" s="39">
        <f t="shared" ref="F198:F214" si="3">D198/E198</f>
        <v>5.4714105517880453E-2</v>
      </c>
    </row>
    <row r="199" spans="1:6" ht="15.75" x14ac:dyDescent="0.25">
      <c r="A199" s="72"/>
      <c r="B199" s="72"/>
      <c r="C199" s="40">
        <v>2024</v>
      </c>
      <c r="D199" s="38">
        <v>363732000000</v>
      </c>
      <c r="E199" s="38">
        <v>6204451000000</v>
      </c>
      <c r="F199" s="39">
        <f t="shared" si="3"/>
        <v>5.8624364992164495E-2</v>
      </c>
    </row>
    <row r="200" spans="1:6" ht="15.75" x14ac:dyDescent="0.25">
      <c r="A200" s="66">
        <v>40</v>
      </c>
      <c r="B200" s="68" t="s">
        <v>192</v>
      </c>
      <c r="C200" s="37">
        <v>2020</v>
      </c>
      <c r="D200" s="38">
        <v>81273727254</v>
      </c>
      <c r="E200" s="38">
        <v>526690381443</v>
      </c>
      <c r="F200" s="39">
        <f t="shared" si="3"/>
        <v>0.15431025535596513</v>
      </c>
    </row>
    <row r="201" spans="1:6" ht="15.75" x14ac:dyDescent="0.25">
      <c r="A201" s="72"/>
      <c r="B201" s="72"/>
      <c r="C201" s="37">
        <v>2021</v>
      </c>
      <c r="D201" s="38">
        <v>188054274782</v>
      </c>
      <c r="E201" s="38">
        <v>635095987703</v>
      </c>
      <c r="F201" s="39">
        <f t="shared" si="3"/>
        <v>0.29610370467328917</v>
      </c>
    </row>
    <row r="202" spans="1:6" ht="15.75" x14ac:dyDescent="0.25">
      <c r="A202" s="72"/>
      <c r="B202" s="72"/>
      <c r="C202" s="37">
        <v>2022</v>
      </c>
      <c r="D202" s="38">
        <v>173391571265</v>
      </c>
      <c r="E202" s="38">
        <v>708549398656</v>
      </c>
      <c r="F202" s="39">
        <f t="shared" si="3"/>
        <v>0.24471345483306439</v>
      </c>
    </row>
    <row r="203" spans="1:6" ht="15.75" x14ac:dyDescent="0.25">
      <c r="A203" s="72"/>
      <c r="B203" s="72"/>
      <c r="C203" s="37">
        <v>2023</v>
      </c>
      <c r="D203" s="38">
        <v>191664263794</v>
      </c>
      <c r="E203" s="38">
        <v>796841740042</v>
      </c>
      <c r="F203" s="39">
        <f t="shared" si="3"/>
        <v>0.24052989968108066</v>
      </c>
    </row>
    <row r="204" spans="1:6" ht="15.75" x14ac:dyDescent="0.25">
      <c r="A204" s="72"/>
      <c r="B204" s="72"/>
      <c r="C204" s="40">
        <v>2024</v>
      </c>
      <c r="D204" s="38">
        <v>220955227350</v>
      </c>
      <c r="E204" s="38">
        <v>965807111206</v>
      </c>
      <c r="F204" s="39">
        <f t="shared" si="3"/>
        <v>0.22877780126726752</v>
      </c>
    </row>
    <row r="205" spans="1:6" ht="15.75" x14ac:dyDescent="0.25">
      <c r="A205" s="66">
        <v>41</v>
      </c>
      <c r="B205" s="68" t="s">
        <v>193</v>
      </c>
      <c r="C205" s="37">
        <v>2020</v>
      </c>
      <c r="D205" s="38">
        <v>15746218605</v>
      </c>
      <c r="E205" s="38">
        <v>129912173543</v>
      </c>
      <c r="F205" s="39">
        <f t="shared" si="3"/>
        <v>0.12120664427023935</v>
      </c>
    </row>
    <row r="206" spans="1:6" ht="15.75" x14ac:dyDescent="0.25">
      <c r="A206" s="72"/>
      <c r="B206" s="72"/>
      <c r="C206" s="37">
        <v>2021</v>
      </c>
      <c r="D206" s="38">
        <v>33530231755</v>
      </c>
      <c r="E206" s="38">
        <v>181585343241</v>
      </c>
      <c r="F206" s="39">
        <f t="shared" si="3"/>
        <v>0.18465274320350122</v>
      </c>
    </row>
    <row r="207" spans="1:6" ht="15.75" x14ac:dyDescent="0.25">
      <c r="A207" s="72"/>
      <c r="B207" s="72"/>
      <c r="C207" s="37">
        <v>2022</v>
      </c>
      <c r="D207" s="38">
        <v>47993345719</v>
      </c>
      <c r="E207" s="38">
        <v>185074524724</v>
      </c>
      <c r="F207" s="39">
        <f t="shared" si="3"/>
        <v>0.25931902724360389</v>
      </c>
    </row>
    <row r="208" spans="1:6" ht="15.75" x14ac:dyDescent="0.25">
      <c r="A208" s="72"/>
      <c r="B208" s="72"/>
      <c r="C208" s="37">
        <v>2023</v>
      </c>
      <c r="D208" s="38">
        <v>51239892562</v>
      </c>
      <c r="E208" s="38">
        <v>207612551051</v>
      </c>
      <c r="F208" s="39">
        <f t="shared" si="3"/>
        <v>0.24680537040081418</v>
      </c>
    </row>
    <row r="209" spans="1:6" ht="15.75" x14ac:dyDescent="0.25">
      <c r="A209" s="72"/>
      <c r="B209" s="72"/>
      <c r="C209" s="40">
        <v>2024</v>
      </c>
      <c r="D209" s="38">
        <v>54881468649</v>
      </c>
      <c r="E209" s="38">
        <v>232613934667</v>
      </c>
      <c r="F209" s="39">
        <f t="shared" si="3"/>
        <v>0.23593371019481668</v>
      </c>
    </row>
    <row r="210" spans="1:6" ht="15.75" x14ac:dyDescent="0.25">
      <c r="A210" s="66">
        <v>42</v>
      </c>
      <c r="B210" s="68" t="s">
        <v>194</v>
      </c>
      <c r="C210" s="37">
        <v>2020</v>
      </c>
      <c r="D210" s="38">
        <v>148365915585</v>
      </c>
      <c r="E210" s="38">
        <v>630230650745</v>
      </c>
      <c r="F210" s="39">
        <f t="shared" si="3"/>
        <v>0.23541526488693565</v>
      </c>
    </row>
    <row r="211" spans="1:6" ht="15.75" x14ac:dyDescent="0.25">
      <c r="A211" s="72"/>
      <c r="B211" s="72"/>
      <c r="C211" s="37">
        <v>2021</v>
      </c>
      <c r="D211" s="38">
        <v>177275878389</v>
      </c>
      <c r="E211" s="38">
        <v>750156832464</v>
      </c>
      <c r="F211" s="39">
        <f t="shared" si="3"/>
        <v>0.23631842131826142</v>
      </c>
    </row>
    <row r="212" spans="1:6" ht="15.75" x14ac:dyDescent="0.25">
      <c r="A212" s="72"/>
      <c r="B212" s="72"/>
      <c r="C212" s="37">
        <v>2022</v>
      </c>
      <c r="D212" s="38">
        <v>97639053688</v>
      </c>
      <c r="E212" s="38">
        <v>801013449120</v>
      </c>
      <c r="F212" s="39">
        <f t="shared" si="3"/>
        <v>0.12189439989461734</v>
      </c>
    </row>
    <row r="213" spans="1:6" ht="15.75" x14ac:dyDescent="0.25">
      <c r="A213" s="72"/>
      <c r="B213" s="72"/>
      <c r="C213" s="37">
        <v>2023</v>
      </c>
      <c r="D213" s="38">
        <v>178455165962</v>
      </c>
      <c r="E213" s="38">
        <v>918737261352</v>
      </c>
      <c r="F213" s="39">
        <f t="shared" si="3"/>
        <v>0.19423960850285754</v>
      </c>
    </row>
    <row r="214" spans="1:6" ht="15.75" x14ac:dyDescent="0.25">
      <c r="A214" s="72"/>
      <c r="B214" s="72"/>
      <c r="C214" s="40">
        <v>2024</v>
      </c>
      <c r="D214" s="38">
        <v>175945630508</v>
      </c>
      <c r="E214" s="38">
        <v>1023892462664</v>
      </c>
      <c r="F214" s="39">
        <f t="shared" si="3"/>
        <v>0.1718399508970096</v>
      </c>
    </row>
  </sheetData>
  <mergeCells count="85">
    <mergeCell ref="B2:E2"/>
    <mergeCell ref="A5:A9"/>
    <mergeCell ref="B5:B9"/>
    <mergeCell ref="A10:A14"/>
    <mergeCell ref="B10:B14"/>
    <mergeCell ref="A15:A19"/>
    <mergeCell ref="B15:B19"/>
    <mergeCell ref="A20:A24"/>
    <mergeCell ref="B20:B24"/>
    <mergeCell ref="A25:A29"/>
    <mergeCell ref="B25:B29"/>
    <mergeCell ref="A30:A34"/>
    <mergeCell ref="B30:B34"/>
    <mergeCell ref="A35:A39"/>
    <mergeCell ref="B35:B39"/>
    <mergeCell ref="A40:A44"/>
    <mergeCell ref="B40:B44"/>
    <mergeCell ref="A45:A49"/>
    <mergeCell ref="B45:B49"/>
    <mergeCell ref="A50:A54"/>
    <mergeCell ref="B50:B54"/>
    <mergeCell ref="A55:A59"/>
    <mergeCell ref="B55:B59"/>
    <mergeCell ref="A60:A64"/>
    <mergeCell ref="B60:B64"/>
    <mergeCell ref="A65:A69"/>
    <mergeCell ref="B65:B69"/>
    <mergeCell ref="A70:A74"/>
    <mergeCell ref="B70:B74"/>
    <mergeCell ref="A75:A79"/>
    <mergeCell ref="B75:B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B100:B104"/>
    <mergeCell ref="A105:A109"/>
    <mergeCell ref="B105:B109"/>
    <mergeCell ref="A110:A114"/>
    <mergeCell ref="B110:B114"/>
    <mergeCell ref="A115:A119"/>
    <mergeCell ref="B115:B119"/>
    <mergeCell ref="A120:A124"/>
    <mergeCell ref="B120:B124"/>
    <mergeCell ref="A125:A129"/>
    <mergeCell ref="B125:B129"/>
    <mergeCell ref="A130:A134"/>
    <mergeCell ref="B130:B134"/>
    <mergeCell ref="A135:A139"/>
    <mergeCell ref="B135:B139"/>
    <mergeCell ref="A140:A144"/>
    <mergeCell ref="B140:B144"/>
    <mergeCell ref="A145:A149"/>
    <mergeCell ref="B145:B149"/>
    <mergeCell ref="A150:A154"/>
    <mergeCell ref="B150:B154"/>
    <mergeCell ref="A155:A159"/>
    <mergeCell ref="B155:B159"/>
    <mergeCell ref="A160:A164"/>
    <mergeCell ref="B160:B164"/>
    <mergeCell ref="A165:A169"/>
    <mergeCell ref="B165:B169"/>
    <mergeCell ref="A170:A174"/>
    <mergeCell ref="B170:B174"/>
    <mergeCell ref="A175:A179"/>
    <mergeCell ref="B175:B179"/>
    <mergeCell ref="A180:A184"/>
    <mergeCell ref="B180:B184"/>
    <mergeCell ref="A185:A189"/>
    <mergeCell ref="B185:B189"/>
    <mergeCell ref="A190:A194"/>
    <mergeCell ref="B190:B194"/>
    <mergeCell ref="A210:A214"/>
    <mergeCell ref="B210:B214"/>
    <mergeCell ref="A195:A199"/>
    <mergeCell ref="B195:B199"/>
    <mergeCell ref="A200:A204"/>
    <mergeCell ref="B200:B204"/>
    <mergeCell ref="A205:A209"/>
    <mergeCell ref="B205:B2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B2E5-2315-4681-B422-E4BAD1BFC95A}">
  <dimension ref="A2:G214"/>
  <sheetViews>
    <sheetView zoomScaleNormal="100" workbookViewId="0">
      <selection activeCell="D213" sqref="D213"/>
    </sheetView>
  </sheetViews>
  <sheetFormatPr defaultRowHeight="15" x14ac:dyDescent="0.25"/>
  <cols>
    <col min="1" max="1" width="3.85546875" bestFit="1" customWidth="1"/>
    <col min="2" max="2" width="17.42578125" customWidth="1"/>
    <col min="3" max="3" width="9.140625" customWidth="1"/>
    <col min="4" max="4" width="21" bestFit="1" customWidth="1"/>
    <col min="5" max="5" width="22.28515625" bestFit="1" customWidth="1"/>
    <col min="6" max="6" width="7.28515625" bestFit="1" customWidth="1"/>
    <col min="7" max="7" width="19" bestFit="1" customWidth="1"/>
  </cols>
  <sheetData>
    <row r="2" spans="1:7" ht="30" customHeight="1" x14ac:dyDescent="0.25">
      <c r="B2" s="76" t="s">
        <v>196</v>
      </c>
      <c r="C2" s="76"/>
      <c r="D2" s="76"/>
      <c r="E2" s="76"/>
      <c r="F2" s="76"/>
    </row>
    <row r="4" spans="1:7" ht="15.75" x14ac:dyDescent="0.25">
      <c r="A4" s="21" t="s">
        <v>1</v>
      </c>
      <c r="B4" s="21" t="s">
        <v>2</v>
      </c>
      <c r="C4" s="21" t="s">
        <v>145</v>
      </c>
      <c r="D4" s="22" t="s">
        <v>198</v>
      </c>
      <c r="E4" s="28" t="s">
        <v>197</v>
      </c>
      <c r="F4" s="29" t="s">
        <v>199</v>
      </c>
    </row>
    <row r="5" spans="1:7" ht="15.75" x14ac:dyDescent="0.25">
      <c r="A5" s="66">
        <v>1</v>
      </c>
      <c r="B5" s="68" t="s">
        <v>149</v>
      </c>
      <c r="C5" s="17">
        <v>2020</v>
      </c>
      <c r="D5" s="43">
        <v>8533437000000</v>
      </c>
      <c r="E5" s="43">
        <v>19247794000000</v>
      </c>
      <c r="F5" s="44">
        <f>D5/E5</f>
        <v>0.44334623489839925</v>
      </c>
      <c r="G5" s="24"/>
    </row>
    <row r="6" spans="1:7" ht="15.75" x14ac:dyDescent="0.25">
      <c r="A6" s="74"/>
      <c r="B6" s="74"/>
      <c r="C6" s="17">
        <v>2021</v>
      </c>
      <c r="D6" s="43">
        <v>9228733000000</v>
      </c>
      <c r="E6" s="43">
        <v>21171173000000</v>
      </c>
      <c r="F6" s="44">
        <f t="shared" ref="F6:F69" si="0">D6/E6</f>
        <v>0.43591032957880982</v>
      </c>
      <c r="G6" s="24"/>
    </row>
    <row r="7" spans="1:7" ht="15.75" x14ac:dyDescent="0.25">
      <c r="A7" s="74"/>
      <c r="B7" s="74"/>
      <c r="C7" s="17">
        <v>2022</v>
      </c>
      <c r="D7" s="43">
        <v>7006119000000</v>
      </c>
      <c r="E7" s="43">
        <v>22243221000000</v>
      </c>
      <c r="F7" s="44">
        <f t="shared" si="0"/>
        <v>0.31497771837990551</v>
      </c>
      <c r="G7" s="24"/>
    </row>
    <row r="8" spans="1:7" ht="15.75" x14ac:dyDescent="0.25">
      <c r="A8" s="74"/>
      <c r="B8" s="74"/>
      <c r="C8" s="17">
        <v>2023</v>
      </c>
      <c r="D8" s="43">
        <v>6280237000000</v>
      </c>
      <c r="E8" s="43">
        <v>22566006000000</v>
      </c>
      <c r="F8" s="44">
        <f t="shared" si="0"/>
        <v>0.27830520828541833</v>
      </c>
    </row>
    <row r="9" spans="1:7" ht="15.75" x14ac:dyDescent="0.25">
      <c r="A9" s="74"/>
      <c r="B9" s="74"/>
      <c r="C9" s="45">
        <v>2024</v>
      </c>
      <c r="D9" s="43">
        <v>5591163000000</v>
      </c>
      <c r="E9" s="43">
        <v>23202062000000</v>
      </c>
      <c r="F9" s="44">
        <f t="shared" si="0"/>
        <v>0.24097698730397324</v>
      </c>
    </row>
    <row r="10" spans="1:7" ht="15.75" x14ac:dyDescent="0.25">
      <c r="A10" s="66">
        <v>2</v>
      </c>
      <c r="B10" s="68" t="s">
        <v>150</v>
      </c>
      <c r="C10" s="17">
        <v>2020</v>
      </c>
      <c r="D10" s="43">
        <v>258283000000</v>
      </c>
      <c r="E10" s="43">
        <v>700508000000</v>
      </c>
      <c r="F10" s="44">
        <f t="shared" si="0"/>
        <v>0.3687081375230547</v>
      </c>
    </row>
    <row r="11" spans="1:7" ht="15.75" x14ac:dyDescent="0.25">
      <c r="A11" s="74"/>
      <c r="B11" s="74"/>
      <c r="C11" s="17">
        <v>2021</v>
      </c>
      <c r="D11" s="43">
        <v>334291000000</v>
      </c>
      <c r="E11" s="43">
        <v>969817000000</v>
      </c>
      <c r="F11" s="44">
        <f t="shared" si="0"/>
        <v>0.34469492698106963</v>
      </c>
    </row>
    <row r="12" spans="1:7" ht="15.75" x14ac:dyDescent="0.25">
      <c r="A12" s="74"/>
      <c r="B12" s="74"/>
      <c r="C12" s="17">
        <v>2022</v>
      </c>
      <c r="D12" s="43">
        <v>310746000000</v>
      </c>
      <c r="E12" s="43">
        <v>1334836000000</v>
      </c>
      <c r="F12" s="44">
        <f t="shared" si="0"/>
        <v>0.23279713762589563</v>
      </c>
    </row>
    <row r="13" spans="1:7" ht="15.75" x14ac:dyDescent="0.25">
      <c r="A13" s="74"/>
      <c r="B13" s="74"/>
      <c r="C13" s="17">
        <v>2023</v>
      </c>
      <c r="D13" s="43">
        <v>355374000000</v>
      </c>
      <c r="E13" s="43">
        <v>1729808000000</v>
      </c>
      <c r="F13" s="44">
        <f t="shared" si="0"/>
        <v>0.2054412975312867</v>
      </c>
    </row>
    <row r="14" spans="1:7" ht="15.75" x14ac:dyDescent="0.25">
      <c r="A14" s="74"/>
      <c r="B14" s="74"/>
      <c r="C14" s="45">
        <v>2024</v>
      </c>
      <c r="D14" s="43">
        <v>438373000000</v>
      </c>
      <c r="E14" s="43">
        <v>2258501000000</v>
      </c>
      <c r="F14" s="44">
        <f t="shared" si="0"/>
        <v>0.19409909493066418</v>
      </c>
    </row>
    <row r="15" spans="1:7" ht="15.75" x14ac:dyDescent="0.25">
      <c r="A15" s="66">
        <v>3</v>
      </c>
      <c r="B15" s="68" t="s">
        <v>151</v>
      </c>
      <c r="C15" s="17">
        <v>2020</v>
      </c>
      <c r="D15" s="46">
        <v>18334415000000</v>
      </c>
      <c r="E15" s="46">
        <v>7636328000000</v>
      </c>
      <c r="F15" s="44">
        <f t="shared" si="0"/>
        <v>2.400946502036057</v>
      </c>
    </row>
    <row r="16" spans="1:7" ht="15.75" x14ac:dyDescent="0.25">
      <c r="A16" s="74"/>
      <c r="B16" s="74"/>
      <c r="C16" s="17">
        <v>2021</v>
      </c>
      <c r="D16" s="46">
        <v>18503950000000</v>
      </c>
      <c r="E16" s="46">
        <v>8989798000000</v>
      </c>
      <c r="F16" s="44">
        <f t="shared" si="0"/>
        <v>2.0583276732135696</v>
      </c>
    </row>
    <row r="17" spans="1:6" ht="15.75" x14ac:dyDescent="0.25">
      <c r="A17" s="74"/>
      <c r="B17" s="74"/>
      <c r="C17" s="17">
        <v>2022</v>
      </c>
      <c r="D17" s="46">
        <v>19275574000000</v>
      </c>
      <c r="E17" s="46">
        <v>11470692000000</v>
      </c>
      <c r="F17" s="44">
        <f t="shared" si="0"/>
        <v>1.6804194550773397</v>
      </c>
    </row>
    <row r="18" spans="1:6" ht="15.75" x14ac:dyDescent="0.25">
      <c r="A18" s="74"/>
      <c r="B18" s="74"/>
      <c r="C18" s="17">
        <v>2023</v>
      </c>
      <c r="D18" s="43">
        <v>18540983000000</v>
      </c>
      <c r="E18" s="43">
        <v>15705200000000</v>
      </c>
      <c r="F18" s="44">
        <f t="shared" si="0"/>
        <v>1.1805633166085119</v>
      </c>
    </row>
    <row r="19" spans="1:6" ht="15.75" x14ac:dyDescent="0.25">
      <c r="A19" s="74"/>
      <c r="B19" s="74"/>
      <c r="C19" s="45">
        <v>2024</v>
      </c>
      <c r="D19" s="43">
        <v>21102439000000</v>
      </c>
      <c r="E19" s="43">
        <v>17695943000000</v>
      </c>
      <c r="F19" s="44">
        <f t="shared" si="0"/>
        <v>1.1925015242194215</v>
      </c>
    </row>
    <row r="20" spans="1:6" ht="15.75" x14ac:dyDescent="0.25">
      <c r="A20" s="66">
        <v>4</v>
      </c>
      <c r="B20" s="68" t="s">
        <v>156</v>
      </c>
      <c r="C20" s="17">
        <v>2020</v>
      </c>
      <c r="D20" s="43">
        <v>456592000000</v>
      </c>
      <c r="E20" s="43">
        <v>2458387000000</v>
      </c>
      <c r="F20" s="44">
        <f t="shared" si="0"/>
        <v>0.1857282844401634</v>
      </c>
    </row>
    <row r="21" spans="1:6" ht="15.75" x14ac:dyDescent="0.25">
      <c r="A21" s="74"/>
      <c r="B21" s="74"/>
      <c r="C21" s="17">
        <v>2021</v>
      </c>
      <c r="D21" s="43">
        <v>404157000000</v>
      </c>
      <c r="E21" s="43">
        <v>2728045000000</v>
      </c>
      <c r="F21" s="44">
        <f t="shared" si="0"/>
        <v>0.14814894915589735</v>
      </c>
    </row>
    <row r="22" spans="1:6" ht="15.75" x14ac:dyDescent="0.25">
      <c r="A22" s="74"/>
      <c r="B22" s="74"/>
      <c r="C22" s="17">
        <v>2022</v>
      </c>
      <c r="D22" s="43">
        <v>360231000000</v>
      </c>
      <c r="E22" s="43">
        <v>3050250000000</v>
      </c>
      <c r="F22" s="44">
        <f t="shared" si="0"/>
        <v>0.11809884435701992</v>
      </c>
    </row>
    <row r="23" spans="1:6" ht="15.75" x14ac:dyDescent="0.25">
      <c r="A23" s="74"/>
      <c r="B23" s="74"/>
      <c r="C23" s="17">
        <v>2023</v>
      </c>
      <c r="D23" s="43">
        <v>455124000000</v>
      </c>
      <c r="E23" s="43">
        <v>3446696000000</v>
      </c>
      <c r="F23" s="44">
        <f t="shared" si="0"/>
        <v>0.13204645840538301</v>
      </c>
    </row>
    <row r="24" spans="1:6" ht="15.75" x14ac:dyDescent="0.25">
      <c r="A24" s="74"/>
      <c r="B24" s="74"/>
      <c r="C24" s="45">
        <v>2024</v>
      </c>
      <c r="D24" s="43">
        <v>244074000000</v>
      </c>
      <c r="E24" s="43">
        <v>3390455000000</v>
      </c>
      <c r="F24" s="44">
        <f t="shared" si="0"/>
        <v>7.1988567906077508E-2</v>
      </c>
    </row>
    <row r="25" spans="1:6" ht="15.75" x14ac:dyDescent="0.25">
      <c r="A25" s="66">
        <v>5</v>
      </c>
      <c r="B25" s="68" t="s">
        <v>157</v>
      </c>
      <c r="C25" s="17">
        <v>2020</v>
      </c>
      <c r="D25" s="43">
        <v>1640851000000</v>
      </c>
      <c r="E25" s="43">
        <v>1322156000000</v>
      </c>
      <c r="F25" s="44">
        <f t="shared" si="0"/>
        <v>1.2410419042836096</v>
      </c>
    </row>
    <row r="26" spans="1:6" ht="15.75" x14ac:dyDescent="0.25">
      <c r="A26" s="74"/>
      <c r="B26" s="74"/>
      <c r="C26" s="17">
        <v>2021</v>
      </c>
      <c r="D26" s="43">
        <v>1605521000000</v>
      </c>
      <c r="E26" s="43">
        <v>1387697000000</v>
      </c>
      <c r="F26" s="44">
        <f t="shared" si="0"/>
        <v>1.1569679836448448</v>
      </c>
    </row>
    <row r="27" spans="1:6" ht="15.75" x14ac:dyDescent="0.25">
      <c r="A27" s="74"/>
      <c r="B27" s="74"/>
      <c r="C27" s="17">
        <v>2022</v>
      </c>
      <c r="D27" s="43">
        <v>1728614000000</v>
      </c>
      <c r="E27" s="43">
        <v>1445037000000</v>
      </c>
      <c r="F27" s="44">
        <f t="shared" si="0"/>
        <v>1.1962420339409994</v>
      </c>
    </row>
    <row r="28" spans="1:6" ht="15.75" x14ac:dyDescent="0.25">
      <c r="A28" s="74"/>
      <c r="B28" s="74"/>
      <c r="C28" s="17">
        <v>2023</v>
      </c>
      <c r="D28" s="43">
        <v>1736519000000</v>
      </c>
      <c r="E28" s="43">
        <v>1591327000000</v>
      </c>
      <c r="F28" s="44">
        <f t="shared" si="0"/>
        <v>1.0912395755240751</v>
      </c>
    </row>
    <row r="29" spans="1:6" ht="15.75" x14ac:dyDescent="0.25">
      <c r="A29" s="74"/>
      <c r="B29" s="74"/>
      <c r="C29" s="45">
        <v>2024</v>
      </c>
      <c r="D29" s="43">
        <v>2197787000000</v>
      </c>
      <c r="E29" s="43">
        <v>1619224000000</v>
      </c>
      <c r="F29" s="44">
        <f t="shared" si="0"/>
        <v>1.3573088096520309</v>
      </c>
    </row>
    <row r="30" spans="1:6" ht="15.75" x14ac:dyDescent="0.25">
      <c r="A30" s="66">
        <v>6</v>
      </c>
      <c r="B30" s="68" t="s">
        <v>158</v>
      </c>
      <c r="C30" s="17">
        <v>2020</v>
      </c>
      <c r="D30" s="43">
        <v>305958833204</v>
      </c>
      <c r="E30" s="43">
        <v>1260714994864</v>
      </c>
      <c r="F30" s="44">
        <f t="shared" si="0"/>
        <v>0.24268675668207262</v>
      </c>
    </row>
    <row r="31" spans="1:6" ht="15.75" x14ac:dyDescent="0.25">
      <c r="A31" s="74"/>
      <c r="B31" s="74"/>
      <c r="C31" s="17">
        <v>2021</v>
      </c>
      <c r="D31" s="43">
        <v>310020233374</v>
      </c>
      <c r="E31" s="43">
        <v>1387366962835</v>
      </c>
      <c r="F31" s="44">
        <f t="shared" si="0"/>
        <v>0.22345943191590242</v>
      </c>
    </row>
    <row r="32" spans="1:6" ht="15.75" x14ac:dyDescent="0.25">
      <c r="A32" s="74"/>
      <c r="B32" s="74"/>
      <c r="C32" s="17">
        <v>2022</v>
      </c>
      <c r="D32" s="43">
        <v>168244583827</v>
      </c>
      <c r="E32" s="43">
        <v>1550042869748</v>
      </c>
      <c r="F32" s="44">
        <f t="shared" si="0"/>
        <v>0.10854189075064263</v>
      </c>
    </row>
    <row r="33" spans="1:6" ht="15.75" x14ac:dyDescent="0.25">
      <c r="A33" s="74"/>
      <c r="B33" s="74"/>
      <c r="C33" s="17">
        <v>2023</v>
      </c>
      <c r="D33" s="43">
        <v>251275135465</v>
      </c>
      <c r="E33" s="43">
        <v>1642285662293</v>
      </c>
      <c r="F33" s="44">
        <f t="shared" si="0"/>
        <v>0.15300330584032709</v>
      </c>
    </row>
    <row r="34" spans="1:6" ht="15.75" x14ac:dyDescent="0.25">
      <c r="A34" s="74"/>
      <c r="B34" s="74"/>
      <c r="C34" s="45">
        <v>2024</v>
      </c>
      <c r="D34" s="43">
        <v>476490666860</v>
      </c>
      <c r="E34" s="43">
        <v>1908791069163</v>
      </c>
      <c r="F34" s="44">
        <f t="shared" si="0"/>
        <v>0.24962955587849639</v>
      </c>
    </row>
    <row r="35" spans="1:6" ht="15.75" x14ac:dyDescent="0.25">
      <c r="A35" s="66">
        <v>7</v>
      </c>
      <c r="B35" s="68" t="s">
        <v>159</v>
      </c>
      <c r="C35" s="17">
        <v>2020</v>
      </c>
      <c r="D35" s="43">
        <v>7809608000000</v>
      </c>
      <c r="E35" s="43">
        <v>23349683000000</v>
      </c>
      <c r="F35" s="44">
        <f t="shared" si="0"/>
        <v>0.33446312740091588</v>
      </c>
    </row>
    <row r="36" spans="1:6" ht="15.75" x14ac:dyDescent="0.25">
      <c r="A36" s="74"/>
      <c r="B36" s="74"/>
      <c r="C36" s="17">
        <v>2021</v>
      </c>
      <c r="D36" s="43">
        <v>10296052000000</v>
      </c>
      <c r="E36" s="43">
        <v>25149999000000</v>
      </c>
      <c r="F36" s="44">
        <f t="shared" si="0"/>
        <v>0.40938578168531936</v>
      </c>
    </row>
    <row r="37" spans="1:6" ht="15.75" x14ac:dyDescent="0.25">
      <c r="A37" s="74"/>
      <c r="B37" s="74"/>
      <c r="C37" s="17">
        <v>2022</v>
      </c>
      <c r="D37" s="43">
        <v>13520331000000</v>
      </c>
      <c r="E37" s="43">
        <v>26327214000000</v>
      </c>
      <c r="F37" s="44">
        <f t="shared" si="0"/>
        <v>0.51354962967217122</v>
      </c>
    </row>
    <row r="38" spans="1:6" ht="15.75" x14ac:dyDescent="0.25">
      <c r="A38" s="74"/>
      <c r="B38" s="74"/>
      <c r="C38" s="17">
        <v>2023</v>
      </c>
      <c r="D38" s="43">
        <v>13942042000000</v>
      </c>
      <c r="E38" s="43">
        <v>27028758000000</v>
      </c>
      <c r="F38" s="44">
        <f t="shared" si="0"/>
        <v>0.51582251763103582</v>
      </c>
    </row>
    <row r="39" spans="1:6" ht="15.75" x14ac:dyDescent="0.25">
      <c r="A39" s="74"/>
      <c r="B39" s="74"/>
      <c r="C39" s="45">
        <v>2024</v>
      </c>
      <c r="D39" s="43">
        <v>12502078000000</v>
      </c>
      <c r="E39" s="43">
        <v>30288922000000</v>
      </c>
      <c r="F39" s="44">
        <f t="shared" si="0"/>
        <v>0.41276074467093943</v>
      </c>
    </row>
    <row r="40" spans="1:6" ht="15.75" x14ac:dyDescent="0.25">
      <c r="A40" s="66">
        <v>8</v>
      </c>
      <c r="B40" s="68" t="s">
        <v>163</v>
      </c>
      <c r="C40" s="17">
        <v>2020</v>
      </c>
      <c r="D40" s="43">
        <v>5618709000000</v>
      </c>
      <c r="E40" s="43">
        <v>707584000000</v>
      </c>
      <c r="F40" s="44">
        <f t="shared" si="0"/>
        <v>7.9406953803364688</v>
      </c>
    </row>
    <row r="41" spans="1:6" ht="15.75" x14ac:dyDescent="0.25">
      <c r="A41" s="74"/>
      <c r="B41" s="74"/>
      <c r="C41" s="17">
        <v>2021</v>
      </c>
      <c r="D41" s="43">
        <v>3586807000000</v>
      </c>
      <c r="E41" s="43">
        <v>2861207000000</v>
      </c>
      <c r="F41" s="44">
        <f t="shared" si="0"/>
        <v>1.2535992677216294</v>
      </c>
    </row>
    <row r="42" spans="1:6" ht="15.75" x14ac:dyDescent="0.25">
      <c r="A42" s="74"/>
      <c r="B42" s="74"/>
      <c r="C42" s="17">
        <v>2022</v>
      </c>
      <c r="D42" s="43">
        <v>3651905000000</v>
      </c>
      <c r="E42" s="43">
        <v>3181832000000</v>
      </c>
      <c r="F42" s="44">
        <f t="shared" si="0"/>
        <v>1.1477365869725367</v>
      </c>
    </row>
    <row r="43" spans="1:6" ht="15.75" x14ac:dyDescent="0.25">
      <c r="A43" s="74"/>
      <c r="B43" s="74"/>
      <c r="C43" s="17">
        <v>2023</v>
      </c>
      <c r="D43" s="43">
        <v>3436635000000</v>
      </c>
      <c r="E43" s="43">
        <v>3419703000000</v>
      </c>
      <c r="F43" s="44">
        <f t="shared" si="0"/>
        <v>1.0049513071749214</v>
      </c>
    </row>
    <row r="44" spans="1:6" ht="15.75" x14ac:dyDescent="0.25">
      <c r="A44" s="74"/>
      <c r="B44" s="74"/>
      <c r="C44" s="45">
        <v>2024</v>
      </c>
      <c r="D44" s="43">
        <v>3137670000000</v>
      </c>
      <c r="E44" s="43">
        <v>3568651000000</v>
      </c>
      <c r="F44" s="44">
        <f t="shared" si="0"/>
        <v>0.8792313958411736</v>
      </c>
    </row>
    <row r="45" spans="1:6" ht="15.75" x14ac:dyDescent="0.25">
      <c r="A45" s="66">
        <v>9</v>
      </c>
      <c r="B45" s="68" t="s">
        <v>160</v>
      </c>
      <c r="C45" s="17">
        <v>2020</v>
      </c>
      <c r="D45" s="43">
        <v>205681950000</v>
      </c>
      <c r="E45" s="43">
        <v>1019898963000</v>
      </c>
      <c r="F45" s="44">
        <f t="shared" si="0"/>
        <v>0.20166894708373187</v>
      </c>
    </row>
    <row r="46" spans="1:6" ht="15.75" x14ac:dyDescent="0.25">
      <c r="A46" s="74"/>
      <c r="B46" s="74"/>
      <c r="C46" s="17">
        <v>2021</v>
      </c>
      <c r="D46" s="43">
        <v>298548048000</v>
      </c>
      <c r="E46" s="43">
        <v>1010174017000</v>
      </c>
      <c r="F46" s="44">
        <f t="shared" si="0"/>
        <v>0.29554120673844259</v>
      </c>
    </row>
    <row r="47" spans="1:6" ht="15.75" x14ac:dyDescent="0.25">
      <c r="A47" s="74"/>
      <c r="B47" s="74"/>
      <c r="C47" s="17">
        <v>2022</v>
      </c>
      <c r="D47" s="43">
        <v>306410502000</v>
      </c>
      <c r="E47" s="43">
        <v>1000775865000</v>
      </c>
      <c r="F47" s="44">
        <f t="shared" si="0"/>
        <v>0.30617295312172621</v>
      </c>
    </row>
    <row r="48" spans="1:6" ht="15.75" x14ac:dyDescent="0.25">
      <c r="A48" s="74"/>
      <c r="B48" s="74"/>
      <c r="C48" s="17">
        <v>2023</v>
      </c>
      <c r="D48" s="43">
        <v>273635750000</v>
      </c>
      <c r="E48" s="43">
        <v>934414260000</v>
      </c>
      <c r="F48" s="44">
        <f t="shared" si="0"/>
        <v>0.2928420099239496</v>
      </c>
    </row>
    <row r="49" spans="1:6" ht="15.75" x14ac:dyDescent="0.25">
      <c r="A49" s="74"/>
      <c r="B49" s="74"/>
      <c r="C49" s="45">
        <v>2024</v>
      </c>
      <c r="D49" s="43">
        <v>268273068000</v>
      </c>
      <c r="E49" s="43">
        <v>849904120000</v>
      </c>
      <c r="F49" s="44">
        <f t="shared" si="0"/>
        <v>0.31565097954814009</v>
      </c>
    </row>
    <row r="50" spans="1:6" ht="15.75" x14ac:dyDescent="0.25">
      <c r="A50" s="66">
        <v>10</v>
      </c>
      <c r="B50" s="68" t="s">
        <v>161</v>
      </c>
      <c r="C50" s="17">
        <v>2020</v>
      </c>
      <c r="D50" s="43">
        <v>7920634000000</v>
      </c>
      <c r="E50" s="43">
        <v>6230749000000</v>
      </c>
      <c r="F50" s="44">
        <f t="shared" si="0"/>
        <v>1.2712169917292448</v>
      </c>
    </row>
    <row r="51" spans="1:6" ht="15.75" x14ac:dyDescent="0.25">
      <c r="A51" s="74"/>
      <c r="B51" s="74"/>
      <c r="C51" s="17">
        <v>2021</v>
      </c>
      <c r="D51" s="43">
        <v>6686697000000</v>
      </c>
      <c r="E51" s="43">
        <v>7025463000000</v>
      </c>
      <c r="F51" s="44">
        <f t="shared" si="0"/>
        <v>0.95178025989176795</v>
      </c>
    </row>
    <row r="52" spans="1:6" ht="15.75" x14ac:dyDescent="0.25">
      <c r="A52" s="74"/>
      <c r="B52" s="74"/>
      <c r="C52" s="17">
        <v>2022</v>
      </c>
      <c r="D52" s="43">
        <v>7197089000000</v>
      </c>
      <c r="E52" s="43">
        <v>8160140000000</v>
      </c>
      <c r="F52" s="44">
        <f t="shared" si="0"/>
        <v>0.88198106895224837</v>
      </c>
    </row>
    <row r="53" spans="1:6" ht="15.75" x14ac:dyDescent="0.25">
      <c r="A53" s="74"/>
      <c r="B53" s="74"/>
      <c r="C53" s="17">
        <v>2023</v>
      </c>
      <c r="D53" s="43">
        <v>7288850000000</v>
      </c>
      <c r="E53" s="43">
        <v>8889428000000</v>
      </c>
      <c r="F53" s="44">
        <f t="shared" si="0"/>
        <v>0.81994589528145123</v>
      </c>
    </row>
    <row r="54" spans="1:6" ht="15.75" x14ac:dyDescent="0.25">
      <c r="A54" s="74"/>
      <c r="B54" s="74"/>
      <c r="C54" s="45">
        <v>2024</v>
      </c>
      <c r="D54" s="43">
        <v>7515101000000</v>
      </c>
      <c r="E54" s="43">
        <v>9897315000000</v>
      </c>
      <c r="F54" s="44">
        <f t="shared" si="0"/>
        <v>0.75930704438527019</v>
      </c>
    </row>
    <row r="55" spans="1:6" ht="15.75" x14ac:dyDescent="0.25">
      <c r="A55" s="66">
        <v>11</v>
      </c>
      <c r="B55" s="68" t="s">
        <v>162</v>
      </c>
      <c r="C55" s="17">
        <v>2020</v>
      </c>
      <c r="D55" s="43">
        <v>2652274698711</v>
      </c>
      <c r="E55" s="43">
        <v>6559456360507</v>
      </c>
      <c r="F55" s="44">
        <f t="shared" si="0"/>
        <v>0.40434367620459294</v>
      </c>
    </row>
    <row r="56" spans="1:6" ht="15.75" x14ac:dyDescent="0.25">
      <c r="A56" s="74"/>
      <c r="B56" s="74"/>
      <c r="C56" s="17">
        <v>2021</v>
      </c>
      <c r="D56" s="43">
        <v>2882998501598</v>
      </c>
      <c r="E56" s="43">
        <v>6846921143922</v>
      </c>
      <c r="F56" s="44">
        <f t="shared" si="0"/>
        <v>0.42106494890148294</v>
      </c>
    </row>
    <row r="57" spans="1:6" ht="15.75" x14ac:dyDescent="0.25">
      <c r="A57" s="74"/>
      <c r="B57" s="74"/>
      <c r="C57" s="17">
        <v>2022</v>
      </c>
      <c r="D57" s="43">
        <v>3264730959090</v>
      </c>
      <c r="E57" s="43">
        <v>7137625893943</v>
      </c>
      <c r="F57" s="44">
        <f t="shared" si="0"/>
        <v>0.45739732056571575</v>
      </c>
    </row>
    <row r="58" spans="1:6" ht="15.75" x14ac:dyDescent="0.25">
      <c r="A58" s="74"/>
      <c r="B58" s="74"/>
      <c r="C58" s="17">
        <v>2023</v>
      </c>
      <c r="D58" s="43">
        <v>3658018645691</v>
      </c>
      <c r="E58" s="43">
        <v>7297830360245</v>
      </c>
      <c r="F58" s="44">
        <f t="shared" si="0"/>
        <v>0.50124742082497442</v>
      </c>
    </row>
    <row r="59" spans="1:6" ht="15.75" x14ac:dyDescent="0.25">
      <c r="A59" s="74"/>
      <c r="B59" s="74"/>
      <c r="C59" s="45">
        <v>2024</v>
      </c>
      <c r="D59" s="43">
        <v>3909755238452</v>
      </c>
      <c r="E59" s="43">
        <v>7577641306112</v>
      </c>
      <c r="F59" s="44">
        <f t="shared" si="0"/>
        <v>0.51595939692981463</v>
      </c>
    </row>
    <row r="60" spans="1:6" ht="15.75" x14ac:dyDescent="0.25">
      <c r="A60" s="66">
        <v>12</v>
      </c>
      <c r="B60" s="68" t="s">
        <v>164</v>
      </c>
      <c r="C60" s="17">
        <v>2020</v>
      </c>
      <c r="D60" s="43">
        <v>19668941000000</v>
      </c>
      <c r="E60" s="43">
        <v>58522468000000</v>
      </c>
      <c r="F60" s="44">
        <f t="shared" si="0"/>
        <v>0.33609213131612975</v>
      </c>
    </row>
    <row r="61" spans="1:6" ht="15.75" x14ac:dyDescent="0.25">
      <c r="A61" s="74"/>
      <c r="B61" s="74"/>
      <c r="C61" s="17">
        <v>2021</v>
      </c>
      <c r="D61" s="43">
        <v>30676095000000</v>
      </c>
      <c r="E61" s="43">
        <v>59288274000000</v>
      </c>
      <c r="F61" s="44">
        <f t="shared" si="0"/>
        <v>0.5174057689721242</v>
      </c>
    </row>
    <row r="62" spans="1:6" ht="15.75" x14ac:dyDescent="0.25">
      <c r="A62" s="74"/>
      <c r="B62" s="74"/>
      <c r="C62" s="17">
        <v>2022</v>
      </c>
      <c r="D62" s="43">
        <v>30706651000000</v>
      </c>
      <c r="E62" s="43">
        <v>57855966000000</v>
      </c>
      <c r="F62" s="44">
        <f t="shared" si="0"/>
        <v>0.53074303521265209</v>
      </c>
    </row>
    <row r="63" spans="1:6" ht="15.75" x14ac:dyDescent="0.25">
      <c r="A63" s="74"/>
      <c r="B63" s="74"/>
      <c r="C63" s="17">
        <v>2023</v>
      </c>
      <c r="D63" s="43">
        <v>31587980000000</v>
      </c>
      <c r="E63" s="43">
        <v>60862843000000</v>
      </c>
      <c r="F63" s="44">
        <f t="shared" si="0"/>
        <v>0.5190027025191708</v>
      </c>
    </row>
    <row r="64" spans="1:6" ht="15.75" x14ac:dyDescent="0.25">
      <c r="A64" s="74"/>
      <c r="B64" s="74"/>
      <c r="C64" s="45">
        <v>2024</v>
      </c>
      <c r="D64" s="43">
        <v>23022685000000</v>
      </c>
      <c r="E64" s="43">
        <v>61916591000000</v>
      </c>
      <c r="F64" s="44">
        <f t="shared" si="0"/>
        <v>0.37183385952240167</v>
      </c>
    </row>
    <row r="65" spans="1:6" ht="15.75" x14ac:dyDescent="0.25">
      <c r="A65" s="66">
        <v>13</v>
      </c>
      <c r="B65" s="68" t="s">
        <v>165</v>
      </c>
      <c r="C65" s="17">
        <v>2020</v>
      </c>
      <c r="D65" s="43">
        <v>19432604000000</v>
      </c>
      <c r="E65" s="43">
        <v>30241426000000</v>
      </c>
      <c r="F65" s="44">
        <f t="shared" si="0"/>
        <v>0.6425822644739041</v>
      </c>
    </row>
    <row r="66" spans="1:6" ht="15.75" x14ac:dyDescent="0.25">
      <c r="A66" s="74"/>
      <c r="B66" s="74"/>
      <c r="C66" s="17">
        <v>2021</v>
      </c>
      <c r="D66" s="43">
        <v>23899022000000</v>
      </c>
      <c r="E66" s="43">
        <v>29191406000000</v>
      </c>
      <c r="F66" s="44">
        <f t="shared" si="0"/>
        <v>0.81870061346137279</v>
      </c>
    </row>
    <row r="67" spans="1:6" ht="15.75" x14ac:dyDescent="0.25">
      <c r="A67" s="74"/>
      <c r="B67" s="74"/>
      <c r="C67" s="17">
        <v>2022</v>
      </c>
      <c r="D67" s="43">
        <v>26616824000000</v>
      </c>
      <c r="E67" s="43">
        <v>28170168000000</v>
      </c>
      <c r="F67" s="44">
        <f t="shared" si="0"/>
        <v>0.94485854681448833</v>
      </c>
    </row>
    <row r="68" spans="1:6" ht="15.75" x14ac:dyDescent="0.25">
      <c r="A68" s="74"/>
      <c r="B68" s="74"/>
      <c r="C68" s="17">
        <v>2023</v>
      </c>
      <c r="D68" s="43">
        <v>25446411000000</v>
      </c>
      <c r="E68" s="43">
        <v>29869853000000</v>
      </c>
      <c r="F68" s="44">
        <f t="shared" si="0"/>
        <v>0.85190948211228223</v>
      </c>
    </row>
    <row r="69" spans="1:6" ht="15.75" x14ac:dyDescent="0.25">
      <c r="A69" s="74"/>
      <c r="B69" s="74"/>
      <c r="C69" s="45">
        <v>2024</v>
      </c>
      <c r="D69" s="43">
        <v>25934279000000</v>
      </c>
      <c r="E69" s="43">
        <v>28356427000000</v>
      </c>
      <c r="F69" s="44">
        <f t="shared" si="0"/>
        <v>0.91458204519208286</v>
      </c>
    </row>
    <row r="70" spans="1:6" ht="15.75" x14ac:dyDescent="0.25">
      <c r="A70" s="66">
        <v>14</v>
      </c>
      <c r="B70" s="68" t="s">
        <v>166</v>
      </c>
      <c r="C70" s="17">
        <v>2020</v>
      </c>
      <c r="D70" s="43">
        <v>52842783000000</v>
      </c>
      <c r="E70" s="43">
        <v>50659843000000</v>
      </c>
      <c r="F70" s="44">
        <f t="shared" ref="F70:F133" si="1">D70/E70</f>
        <v>1.0430901453839878</v>
      </c>
    </row>
    <row r="71" spans="1:6" ht="15.75" x14ac:dyDescent="0.25">
      <c r="A71" s="74"/>
      <c r="B71" s="74"/>
      <c r="C71" s="17">
        <v>2021</v>
      </c>
      <c r="D71" s="43">
        <v>63074704000000</v>
      </c>
      <c r="E71" s="43">
        <v>54940607000000</v>
      </c>
      <c r="F71" s="44">
        <f t="shared" si="1"/>
        <v>1.1480525506389108</v>
      </c>
    </row>
    <row r="72" spans="1:6" ht="15.75" x14ac:dyDescent="0.25">
      <c r="A72" s="74"/>
      <c r="B72" s="74"/>
      <c r="C72" s="17">
        <v>2022</v>
      </c>
      <c r="D72" s="43">
        <v>57832529000000</v>
      </c>
      <c r="E72" s="43">
        <v>57473007000000</v>
      </c>
      <c r="F72" s="44">
        <f t="shared" si="1"/>
        <v>1.0062554931221885</v>
      </c>
    </row>
    <row r="73" spans="1:6" ht="15.75" x14ac:dyDescent="0.25">
      <c r="A73" s="74"/>
      <c r="B73" s="74"/>
      <c r="C73" s="17">
        <v>2023</v>
      </c>
      <c r="D73" s="43">
        <v>57163043000000</v>
      </c>
      <c r="E73" s="43">
        <v>62104033000000</v>
      </c>
      <c r="F73" s="44">
        <f t="shared" si="1"/>
        <v>0.92044011054805408</v>
      </c>
    </row>
    <row r="74" spans="1:6" ht="15.75" x14ac:dyDescent="0.25">
      <c r="A74" s="74"/>
      <c r="B74" s="74"/>
      <c r="C74" s="45">
        <v>2024</v>
      </c>
      <c r="D74" s="43">
        <v>58997020000000</v>
      </c>
      <c r="E74" s="43">
        <v>67043885000000</v>
      </c>
      <c r="F74" s="44">
        <f t="shared" si="1"/>
        <v>0.87997615293326159</v>
      </c>
    </row>
    <row r="75" spans="1:6" ht="15.75" x14ac:dyDescent="0.25">
      <c r="A75" s="66">
        <v>15</v>
      </c>
      <c r="B75" s="68" t="s">
        <v>167</v>
      </c>
      <c r="C75" s="17">
        <v>2020</v>
      </c>
      <c r="D75" s="43">
        <v>83357830000000</v>
      </c>
      <c r="E75" s="43">
        <v>79653950000000</v>
      </c>
      <c r="F75" s="44">
        <f t="shared" si="1"/>
        <v>1.0464996400052979</v>
      </c>
    </row>
    <row r="76" spans="1:6" ht="15.75" x14ac:dyDescent="0.25">
      <c r="A76" s="74"/>
      <c r="B76" s="74"/>
      <c r="C76" s="17">
        <v>2021</v>
      </c>
      <c r="D76" s="43">
        <v>92285331000000</v>
      </c>
      <c r="E76" s="43">
        <v>86986509000000</v>
      </c>
      <c r="F76" s="44">
        <f t="shared" si="1"/>
        <v>1.0609154460952099</v>
      </c>
    </row>
    <row r="77" spans="1:6" ht="15.75" x14ac:dyDescent="0.25">
      <c r="A77" s="74"/>
      <c r="B77" s="74"/>
      <c r="C77" s="17">
        <v>2022</v>
      </c>
      <c r="D77" s="43">
        <v>86810262000000</v>
      </c>
      <c r="E77" s="43">
        <v>93623038000000</v>
      </c>
      <c r="F77" s="44">
        <f t="shared" si="1"/>
        <v>0.92723184223096888</v>
      </c>
    </row>
    <row r="78" spans="1:6" ht="15.75" x14ac:dyDescent="0.25">
      <c r="A78" s="74"/>
      <c r="B78" s="74"/>
      <c r="C78" s="17">
        <v>2023</v>
      </c>
      <c r="D78" s="43">
        <v>86123066000000</v>
      </c>
      <c r="E78" s="43">
        <v>100464891000000</v>
      </c>
      <c r="F78" s="44">
        <f t="shared" si="1"/>
        <v>0.8572454032722735</v>
      </c>
    </row>
    <row r="79" spans="1:6" ht="15.75" x14ac:dyDescent="0.25">
      <c r="A79" s="74"/>
      <c r="B79" s="74"/>
      <c r="C79" s="45">
        <v>2024</v>
      </c>
      <c r="D79" s="43">
        <v>92722030000000</v>
      </c>
      <c r="E79" s="43">
        <v>108991283000000</v>
      </c>
      <c r="F79" s="44">
        <f t="shared" si="1"/>
        <v>0.85072886058236419</v>
      </c>
    </row>
    <row r="80" spans="1:6" ht="15.75" x14ac:dyDescent="0.25">
      <c r="A80" s="66">
        <v>16</v>
      </c>
      <c r="B80" s="68" t="s">
        <v>168</v>
      </c>
      <c r="C80" s="17">
        <v>2020</v>
      </c>
      <c r="D80" s="43">
        <v>14539790000000</v>
      </c>
      <c r="E80" s="43">
        <v>11411970000000</v>
      </c>
      <c r="F80" s="44">
        <f t="shared" si="1"/>
        <v>1.2740823889302197</v>
      </c>
    </row>
    <row r="81" spans="1:6" ht="15.75" x14ac:dyDescent="0.25">
      <c r="A81" s="74"/>
      <c r="B81" s="74"/>
      <c r="C81" s="17">
        <v>2021</v>
      </c>
      <c r="D81" s="43">
        <v>15486946000000</v>
      </c>
      <c r="E81" s="43">
        <v>13102710000000</v>
      </c>
      <c r="F81" s="44">
        <f t="shared" si="1"/>
        <v>1.181965104928675</v>
      </c>
    </row>
    <row r="82" spans="1:6" ht="15.75" x14ac:dyDescent="0.25">
      <c r="A82" s="74"/>
      <c r="B82" s="74"/>
      <c r="C82" s="17">
        <v>2022</v>
      </c>
      <c r="D82" s="43">
        <v>19036110000000</v>
      </c>
      <c r="E82" s="43">
        <v>13654777000000</v>
      </c>
      <c r="F82" s="44">
        <f t="shared" si="1"/>
        <v>1.3940989296273385</v>
      </c>
    </row>
    <row r="83" spans="1:6" ht="15.75" x14ac:dyDescent="0.25">
      <c r="A83" s="74"/>
      <c r="B83" s="74"/>
      <c r="C83" s="17">
        <v>2023</v>
      </c>
      <c r="D83" s="43">
        <v>19942219000000</v>
      </c>
      <c r="E83" s="43">
        <v>14167212000000</v>
      </c>
      <c r="F83" s="44">
        <f t="shared" si="1"/>
        <v>1.4076318615123427</v>
      </c>
    </row>
    <row r="84" spans="1:6" ht="15.75" x14ac:dyDescent="0.25">
      <c r="A84" s="74"/>
      <c r="B84" s="74"/>
      <c r="C84" s="45">
        <v>2024</v>
      </c>
      <c r="D84" s="43">
        <v>18093761000000</v>
      </c>
      <c r="E84" s="43">
        <v>16572522000000</v>
      </c>
      <c r="F84" s="44">
        <f t="shared" si="1"/>
        <v>1.0917928484270529</v>
      </c>
    </row>
    <row r="85" spans="1:6" ht="15.75" x14ac:dyDescent="0.25">
      <c r="A85" s="66">
        <v>17</v>
      </c>
      <c r="B85" s="68" t="s">
        <v>169</v>
      </c>
      <c r="C85" s="17">
        <v>2020</v>
      </c>
      <c r="D85" s="43">
        <v>1615795000000</v>
      </c>
      <c r="E85" s="43">
        <v>9306993000000</v>
      </c>
      <c r="F85" s="44">
        <f t="shared" si="1"/>
        <v>0.1736108536881891</v>
      </c>
    </row>
    <row r="86" spans="1:6" ht="15.75" x14ac:dyDescent="0.25">
      <c r="A86" s="74"/>
      <c r="B86" s="74"/>
      <c r="C86" s="17">
        <v>2021</v>
      </c>
      <c r="D86" s="43">
        <v>1659873000000</v>
      </c>
      <c r="E86" s="43">
        <v>10191396000000</v>
      </c>
      <c r="F86" s="44">
        <f t="shared" si="1"/>
        <v>0.16287003272171938</v>
      </c>
    </row>
    <row r="87" spans="1:6" ht="15.75" x14ac:dyDescent="0.25">
      <c r="A87" s="74"/>
      <c r="B87" s="74"/>
      <c r="C87" s="17">
        <v>2022</v>
      </c>
      <c r="D87" s="43">
        <v>1481306000000</v>
      </c>
      <c r="E87" s="43">
        <v>10935707000000</v>
      </c>
      <c r="F87" s="44">
        <f t="shared" si="1"/>
        <v>0.13545589690725987</v>
      </c>
    </row>
    <row r="88" spans="1:6" ht="15.75" x14ac:dyDescent="0.25">
      <c r="A88" s="74"/>
      <c r="B88" s="74"/>
      <c r="C88" s="17">
        <v>2023</v>
      </c>
      <c r="D88" s="43">
        <v>1166762000000</v>
      </c>
      <c r="E88" s="43">
        <v>11347441000000</v>
      </c>
      <c r="F88" s="44">
        <f t="shared" si="1"/>
        <v>0.10282159651678295</v>
      </c>
    </row>
    <row r="89" spans="1:6" ht="15.75" x14ac:dyDescent="0.25">
      <c r="A89" s="74"/>
      <c r="B89" s="74"/>
      <c r="C89" s="45">
        <v>2024</v>
      </c>
      <c r="D89" s="43">
        <v>1285202000000</v>
      </c>
      <c r="E89" s="43">
        <v>12556754000000</v>
      </c>
      <c r="F89" s="44">
        <f t="shared" si="1"/>
        <v>0.10235145165701263</v>
      </c>
    </row>
    <row r="90" spans="1:6" ht="15.75" x14ac:dyDescent="0.25">
      <c r="A90" s="66">
        <v>18</v>
      </c>
      <c r="B90" s="68" t="s">
        <v>170</v>
      </c>
      <c r="C90" s="17">
        <v>2020</v>
      </c>
      <c r="D90" s="43">
        <v>4457824000000</v>
      </c>
      <c r="E90" s="43">
        <v>1454146000000</v>
      </c>
      <c r="F90" s="44">
        <f t="shared" si="1"/>
        <v>3.0655958892710911</v>
      </c>
    </row>
    <row r="91" spans="1:6" ht="15.75" x14ac:dyDescent="0.25">
      <c r="A91" s="74"/>
      <c r="B91" s="74"/>
      <c r="C91" s="17">
        <v>2021</v>
      </c>
      <c r="D91" s="43">
        <v>4661895000000</v>
      </c>
      <c r="E91" s="43">
        <v>1667644000000</v>
      </c>
      <c r="F91" s="44">
        <f t="shared" si="1"/>
        <v>2.7954977201369116</v>
      </c>
    </row>
    <row r="92" spans="1:6" ht="15.75" x14ac:dyDescent="0.25">
      <c r="A92" s="74"/>
      <c r="B92" s="74"/>
      <c r="C92" s="17">
        <v>2022</v>
      </c>
      <c r="D92" s="43">
        <v>4918421000000</v>
      </c>
      <c r="E92" s="43">
        <v>1986727000000</v>
      </c>
      <c r="F92" s="44">
        <f t="shared" si="1"/>
        <v>2.475640085426936</v>
      </c>
    </row>
    <row r="93" spans="1:6" ht="15.75" x14ac:dyDescent="0.25">
      <c r="A93" s="74"/>
      <c r="B93" s="74"/>
      <c r="C93" s="17">
        <v>2023</v>
      </c>
      <c r="D93" s="43">
        <v>3873675000000</v>
      </c>
      <c r="E93" s="43">
        <v>3912434000000</v>
      </c>
      <c r="F93" s="44">
        <f t="shared" si="1"/>
        <v>0.9900933792109976</v>
      </c>
    </row>
    <row r="94" spans="1:6" ht="15.75" x14ac:dyDescent="0.25">
      <c r="A94" s="74"/>
      <c r="B94" s="74"/>
      <c r="C94" s="45">
        <v>2024</v>
      </c>
      <c r="D94" s="43">
        <v>4441894000000</v>
      </c>
      <c r="E94" s="43">
        <v>4291057000000</v>
      </c>
      <c r="F94" s="44">
        <f t="shared" si="1"/>
        <v>1.0351514789945695</v>
      </c>
    </row>
    <row r="95" spans="1:6" ht="15.75" x14ac:dyDescent="0.25">
      <c r="A95" s="66">
        <v>19</v>
      </c>
      <c r="B95" s="68" t="s">
        <v>171</v>
      </c>
      <c r="C95" s="17">
        <v>2020</v>
      </c>
      <c r="D95" s="43">
        <v>1474019000000</v>
      </c>
      <c r="E95" s="43">
        <v>1433406000000</v>
      </c>
      <c r="F95" s="44">
        <f t="shared" si="1"/>
        <v>1.0283332147346949</v>
      </c>
    </row>
    <row r="96" spans="1:6" ht="15.75" x14ac:dyDescent="0.25">
      <c r="A96" s="74"/>
      <c r="B96" s="74"/>
      <c r="C96" s="17">
        <v>2021</v>
      </c>
      <c r="D96" s="43">
        <v>1822860000000</v>
      </c>
      <c r="E96" s="43">
        <v>1099157000000</v>
      </c>
      <c r="F96" s="44">
        <f t="shared" si="1"/>
        <v>1.6584164045718675</v>
      </c>
    </row>
    <row r="97" spans="1:6" ht="15.75" x14ac:dyDescent="0.25">
      <c r="A97" s="74"/>
      <c r="B97" s="74"/>
      <c r="C97" s="17">
        <v>2022</v>
      </c>
      <c r="D97" s="43">
        <v>2301227000000</v>
      </c>
      <c r="E97" s="43">
        <v>1073275000000</v>
      </c>
      <c r="F97" s="44">
        <f t="shared" si="1"/>
        <v>2.1441168386480634</v>
      </c>
    </row>
    <row r="98" spans="1:6" ht="15.75" x14ac:dyDescent="0.25">
      <c r="A98" s="74"/>
      <c r="B98" s="74"/>
      <c r="C98" s="17">
        <v>2023</v>
      </c>
      <c r="D98" s="43">
        <v>2015987000000</v>
      </c>
      <c r="E98" s="43">
        <v>1391455000000</v>
      </c>
      <c r="F98" s="44">
        <f t="shared" si="1"/>
        <v>1.4488337747178313</v>
      </c>
    </row>
    <row r="99" spans="1:6" ht="15.75" x14ac:dyDescent="0.25">
      <c r="A99" s="74"/>
      <c r="B99" s="74"/>
      <c r="C99" s="45">
        <v>2024</v>
      </c>
      <c r="D99" s="43">
        <v>2124203000000</v>
      </c>
      <c r="E99" s="43">
        <v>1316885000000</v>
      </c>
      <c r="F99" s="44">
        <f t="shared" si="1"/>
        <v>1.613051253526314</v>
      </c>
    </row>
    <row r="100" spans="1:6" ht="15.75" x14ac:dyDescent="0.25">
      <c r="A100" s="66">
        <v>20</v>
      </c>
      <c r="B100" s="68" t="s">
        <v>172</v>
      </c>
      <c r="C100" s="17">
        <v>2020</v>
      </c>
      <c r="D100" s="43">
        <v>8506032464592</v>
      </c>
      <c r="E100" s="43">
        <v>11271468049958</v>
      </c>
      <c r="F100" s="44">
        <f t="shared" si="1"/>
        <v>0.75465169460545078</v>
      </c>
    </row>
    <row r="101" spans="1:6" ht="15.75" x14ac:dyDescent="0.25">
      <c r="A101" s="74"/>
      <c r="B101" s="74"/>
      <c r="C101" s="17">
        <v>2021</v>
      </c>
      <c r="D101" s="43">
        <v>8557621869393</v>
      </c>
      <c r="E101" s="43">
        <v>11360031396135</v>
      </c>
      <c r="F101" s="44">
        <f t="shared" si="1"/>
        <v>0.75330970232217331</v>
      </c>
    </row>
    <row r="102" spans="1:6" ht="15.75" x14ac:dyDescent="0.25">
      <c r="A102" s="74"/>
      <c r="B102" s="74"/>
      <c r="C102" s="17">
        <v>2022</v>
      </c>
      <c r="D102" s="43">
        <v>9441466604896</v>
      </c>
      <c r="E102" s="43">
        <v>12834694090515</v>
      </c>
      <c r="F102" s="44">
        <f t="shared" si="1"/>
        <v>0.73562069639613481</v>
      </c>
    </row>
    <row r="103" spans="1:6" ht="15.75" x14ac:dyDescent="0.25">
      <c r="A103" s="74"/>
      <c r="B103" s="74"/>
      <c r="C103" s="17">
        <v>2023</v>
      </c>
      <c r="D103" s="43">
        <v>8588315775736</v>
      </c>
      <c r="E103" s="43">
        <v>15282089186736</v>
      </c>
      <c r="F103" s="44">
        <f t="shared" si="1"/>
        <v>0.56198571221467408</v>
      </c>
    </row>
    <row r="104" spans="1:6" ht="15.75" x14ac:dyDescent="0.25">
      <c r="A104" s="74"/>
      <c r="B104" s="74"/>
      <c r="C104" s="45">
        <v>2024</v>
      </c>
      <c r="D104" s="43">
        <v>12626353599187</v>
      </c>
      <c r="E104" s="43">
        <v>17102428334570</v>
      </c>
      <c r="F104" s="44">
        <f t="shared" si="1"/>
        <v>0.73827841007026562</v>
      </c>
    </row>
    <row r="105" spans="1:6" ht="15.75" x14ac:dyDescent="0.25">
      <c r="A105" s="66">
        <v>21</v>
      </c>
      <c r="B105" s="68" t="s">
        <v>173</v>
      </c>
      <c r="C105" s="17">
        <v>2020</v>
      </c>
      <c r="D105" s="43">
        <v>1205569956974</v>
      </c>
      <c r="E105" s="43">
        <v>3246596715011</v>
      </c>
      <c r="F105" s="44">
        <f t="shared" si="1"/>
        <v>0.37133344939330271</v>
      </c>
    </row>
    <row r="106" spans="1:6" ht="15.75" x14ac:dyDescent="0.25">
      <c r="A106" s="74"/>
      <c r="B106" s="74"/>
      <c r="C106" s="17">
        <v>2021</v>
      </c>
      <c r="D106" s="43">
        <v>1321693219911</v>
      </c>
      <c r="E106" s="43">
        <v>2869591202766</v>
      </c>
      <c r="F106" s="44">
        <f t="shared" si="1"/>
        <v>0.4605858906442909</v>
      </c>
    </row>
    <row r="107" spans="1:6" ht="15.75" x14ac:dyDescent="0.25">
      <c r="A107" s="74"/>
      <c r="B107" s="74"/>
      <c r="C107" s="17">
        <v>2022</v>
      </c>
      <c r="D107" s="43">
        <v>1449163077319</v>
      </c>
      <c r="E107" s="43">
        <v>2681158538764</v>
      </c>
      <c r="F107" s="44">
        <f t="shared" si="1"/>
        <v>0.54049883897841289</v>
      </c>
    </row>
    <row r="108" spans="1:6" ht="15.75" x14ac:dyDescent="0.25">
      <c r="A108" s="74"/>
      <c r="B108" s="74"/>
      <c r="C108" s="17">
        <v>2023</v>
      </c>
      <c r="D108" s="43">
        <v>1550086849761</v>
      </c>
      <c r="E108" s="43">
        <v>2393431575281</v>
      </c>
      <c r="F108" s="44">
        <f t="shared" si="1"/>
        <v>0.64764201566072033</v>
      </c>
    </row>
    <row r="109" spans="1:6" ht="15.75" x14ac:dyDescent="0.25">
      <c r="A109" s="74"/>
      <c r="B109" s="74"/>
      <c r="C109" s="45">
        <v>2024</v>
      </c>
      <c r="D109" s="43">
        <v>1438191795263</v>
      </c>
      <c r="E109" s="43">
        <v>2308155193504</v>
      </c>
      <c r="F109" s="44">
        <f t="shared" si="1"/>
        <v>0.62309146252843051</v>
      </c>
    </row>
    <row r="110" spans="1:6" ht="15.75" x14ac:dyDescent="0.25">
      <c r="A110" s="66">
        <v>22</v>
      </c>
      <c r="B110" s="68" t="s">
        <v>174</v>
      </c>
      <c r="C110" s="17">
        <v>2020</v>
      </c>
      <c r="D110" s="43">
        <v>935629997936</v>
      </c>
      <c r="E110" s="43">
        <v>229196488586</v>
      </c>
      <c r="F110" s="44">
        <f t="shared" si="1"/>
        <v>4.0822178546811783</v>
      </c>
    </row>
    <row r="111" spans="1:6" ht="15.75" x14ac:dyDescent="0.25">
      <c r="A111" s="74"/>
      <c r="B111" s="74"/>
      <c r="C111" s="17">
        <v>2021</v>
      </c>
      <c r="D111" s="43">
        <v>969406193098</v>
      </c>
      <c r="E111" s="43">
        <v>236979349790</v>
      </c>
      <c r="F111" s="44">
        <f t="shared" si="1"/>
        <v>4.0906779175360315</v>
      </c>
    </row>
    <row r="112" spans="1:6" ht="15.75" x14ac:dyDescent="0.25">
      <c r="A112" s="74"/>
      <c r="B112" s="74"/>
      <c r="C112" s="17">
        <v>2022</v>
      </c>
      <c r="D112" s="43">
        <v>1142594625772</v>
      </c>
      <c r="E112" s="43">
        <v>258910138345</v>
      </c>
      <c r="F112" s="44">
        <f t="shared" si="1"/>
        <v>4.4130934117747165</v>
      </c>
    </row>
    <row r="113" spans="1:6" ht="15.75" x14ac:dyDescent="0.25">
      <c r="A113" s="74"/>
      <c r="B113" s="74"/>
      <c r="C113" s="17">
        <v>2023</v>
      </c>
      <c r="D113" s="43">
        <v>1361968904232</v>
      </c>
      <c r="E113" s="43">
        <v>277713387566</v>
      </c>
      <c r="F113" s="44">
        <f t="shared" si="1"/>
        <v>4.9042248779177822</v>
      </c>
    </row>
    <row r="114" spans="1:6" ht="15.75" x14ac:dyDescent="0.25">
      <c r="A114" s="74"/>
      <c r="B114" s="74"/>
      <c r="C114" s="45">
        <v>2024</v>
      </c>
      <c r="D114" s="43">
        <v>1489359909392</v>
      </c>
      <c r="E114" s="43">
        <v>282496920009</v>
      </c>
      <c r="F114" s="44">
        <f t="shared" si="1"/>
        <v>5.2721279557474494</v>
      </c>
    </row>
    <row r="115" spans="1:6" ht="15.75" x14ac:dyDescent="0.25">
      <c r="A115" s="66">
        <v>23</v>
      </c>
      <c r="B115" s="68" t="s">
        <v>175</v>
      </c>
      <c r="C115" s="17">
        <v>2020</v>
      </c>
      <c r="D115" s="43">
        <v>366908471713</v>
      </c>
      <c r="E115" s="43">
        <v>406954570727</v>
      </c>
      <c r="F115" s="44">
        <f t="shared" si="1"/>
        <v>0.90159565245216433</v>
      </c>
    </row>
    <row r="116" spans="1:6" ht="15.75" x14ac:dyDescent="0.25">
      <c r="A116" s="74"/>
      <c r="B116" s="74"/>
      <c r="C116" s="17">
        <v>2021</v>
      </c>
      <c r="D116" s="43">
        <v>347288021564</v>
      </c>
      <c r="E116" s="43">
        <v>541837229228</v>
      </c>
      <c r="F116" s="44">
        <f t="shared" si="1"/>
        <v>0.64094529284894242</v>
      </c>
    </row>
    <row r="117" spans="1:6" ht="15.75" x14ac:dyDescent="0.25">
      <c r="A117" s="74"/>
      <c r="B117" s="74"/>
      <c r="C117" s="17">
        <v>2022</v>
      </c>
      <c r="D117" s="43">
        <v>442535947408</v>
      </c>
      <c r="E117" s="43">
        <v>590753527421</v>
      </c>
      <c r="F117" s="44">
        <f t="shared" si="1"/>
        <v>0.74910419805691175</v>
      </c>
    </row>
    <row r="118" spans="1:6" ht="15.75" x14ac:dyDescent="0.25">
      <c r="A118" s="74"/>
      <c r="B118" s="74"/>
      <c r="C118" s="17">
        <v>2023</v>
      </c>
      <c r="D118" s="43">
        <v>465795522143</v>
      </c>
      <c r="E118" s="43">
        <v>816943780892</v>
      </c>
      <c r="F118" s="44">
        <f t="shared" si="1"/>
        <v>0.57016839229060512</v>
      </c>
    </row>
    <row r="119" spans="1:6" ht="15.75" x14ac:dyDescent="0.25">
      <c r="A119" s="74"/>
      <c r="B119" s="74"/>
      <c r="C119" s="45">
        <v>2024</v>
      </c>
      <c r="D119" s="43">
        <v>607398668005</v>
      </c>
      <c r="E119" s="43">
        <v>914626499902</v>
      </c>
      <c r="F119" s="44">
        <f t="shared" si="1"/>
        <v>0.66409476225550135</v>
      </c>
    </row>
    <row r="120" spans="1:6" ht="15.75" x14ac:dyDescent="0.25">
      <c r="A120" s="66">
        <v>24</v>
      </c>
      <c r="B120" s="68" t="s">
        <v>176</v>
      </c>
      <c r="C120" s="17">
        <v>2020</v>
      </c>
      <c r="D120" s="43">
        <v>22502490000000</v>
      </c>
      <c r="E120" s="43">
        <v>12523681000000</v>
      </c>
      <c r="F120" s="44">
        <f t="shared" si="1"/>
        <v>1.7967952074154556</v>
      </c>
    </row>
    <row r="121" spans="1:6" ht="15.75" x14ac:dyDescent="0.25">
      <c r="A121" s="74"/>
      <c r="B121" s="74"/>
      <c r="C121" s="17">
        <v>2021</v>
      </c>
      <c r="D121" s="43">
        <v>25927174000000</v>
      </c>
      <c r="E121" s="43">
        <v>14417829000000</v>
      </c>
      <c r="F121" s="44">
        <f t="shared" si="1"/>
        <v>1.7982717092843867</v>
      </c>
    </row>
    <row r="122" spans="1:6" ht="15.75" x14ac:dyDescent="0.25">
      <c r="A122" s="74"/>
      <c r="B122" s="74"/>
      <c r="C122" s="17">
        <v>2022</v>
      </c>
      <c r="D122" s="43">
        <v>23353011000000</v>
      </c>
      <c r="E122" s="43">
        <v>19247803000000</v>
      </c>
      <c r="F122" s="44">
        <f t="shared" si="1"/>
        <v>1.2132819002771382</v>
      </c>
    </row>
    <row r="123" spans="1:6" ht="15.75" x14ac:dyDescent="0.25">
      <c r="A123" s="74"/>
      <c r="B123" s="74"/>
      <c r="C123" s="17">
        <v>2023</v>
      </c>
      <c r="D123" s="43">
        <v>20644500000000</v>
      </c>
      <c r="E123" s="43">
        <v>19071863000000</v>
      </c>
      <c r="F123" s="44">
        <f t="shared" si="1"/>
        <v>1.0824584887171222</v>
      </c>
    </row>
    <row r="124" spans="1:6" ht="15.75" x14ac:dyDescent="0.25">
      <c r="A124" s="74"/>
      <c r="B124" s="74"/>
      <c r="C124" s="45">
        <v>2024</v>
      </c>
      <c r="D124" s="43">
        <v>25450074000000</v>
      </c>
      <c r="E124" s="43">
        <v>19883057000000</v>
      </c>
      <c r="F124" s="44">
        <f t="shared" si="1"/>
        <v>1.2799879817273572</v>
      </c>
    </row>
    <row r="125" spans="1:6" ht="15.75" x14ac:dyDescent="0.25">
      <c r="A125" s="66">
        <v>25</v>
      </c>
      <c r="B125" s="68" t="s">
        <v>177</v>
      </c>
      <c r="C125" s="17">
        <v>2020</v>
      </c>
      <c r="D125" s="43">
        <v>7905143639000</v>
      </c>
      <c r="E125" s="43">
        <v>4870786420000</v>
      </c>
      <c r="F125" s="44">
        <f t="shared" si="1"/>
        <v>1.6229706986413088</v>
      </c>
    </row>
    <row r="126" spans="1:6" ht="15.75" x14ac:dyDescent="0.25">
      <c r="A126" s="74"/>
      <c r="B126" s="74"/>
      <c r="C126" s="17">
        <v>2021</v>
      </c>
      <c r="D126" s="43">
        <v>9249648391000</v>
      </c>
      <c r="E126" s="43">
        <v>1455683027000</v>
      </c>
      <c r="F126" s="44">
        <f t="shared" si="1"/>
        <v>6.3541637976383436</v>
      </c>
    </row>
    <row r="127" spans="1:6" ht="15.75" x14ac:dyDescent="0.25">
      <c r="A127" s="74"/>
      <c r="B127" s="74"/>
      <c r="C127" s="17">
        <v>2022</v>
      </c>
      <c r="D127" s="43">
        <v>9092405909000</v>
      </c>
      <c r="E127" s="43">
        <v>2044503891000</v>
      </c>
      <c r="F127" s="44">
        <f t="shared" si="1"/>
        <v>4.4472431424685412</v>
      </c>
    </row>
    <row r="128" spans="1:6" ht="15.75" x14ac:dyDescent="0.25">
      <c r="A128" s="74"/>
      <c r="B128" s="74"/>
      <c r="C128" s="17">
        <v>2023</v>
      </c>
      <c r="D128" s="43">
        <v>9820482573000</v>
      </c>
      <c r="E128" s="43">
        <v>1989962060000</v>
      </c>
      <c r="F128" s="44">
        <f t="shared" si="1"/>
        <v>4.9350099534058449</v>
      </c>
    </row>
    <row r="129" spans="1:6" ht="15.75" x14ac:dyDescent="0.25">
      <c r="A129" s="74"/>
      <c r="B129" s="74"/>
      <c r="C129" s="45">
        <v>2024</v>
      </c>
      <c r="D129" s="43">
        <v>8873484995000</v>
      </c>
      <c r="E129" s="43">
        <v>8873484995000</v>
      </c>
      <c r="F129" s="44">
        <f t="shared" si="1"/>
        <v>1</v>
      </c>
    </row>
    <row r="130" spans="1:6" ht="15.75" x14ac:dyDescent="0.25">
      <c r="A130" s="66">
        <v>26</v>
      </c>
      <c r="B130" s="68" t="s">
        <v>178</v>
      </c>
      <c r="C130" s="17">
        <v>2020</v>
      </c>
      <c r="D130" s="43">
        <v>775696860738</v>
      </c>
      <c r="E130" s="43">
        <v>2673298199144</v>
      </c>
      <c r="F130" s="44">
        <f t="shared" si="1"/>
        <v>0.29016473395537429</v>
      </c>
    </row>
    <row r="131" spans="1:6" ht="15.75" x14ac:dyDescent="0.25">
      <c r="A131" s="74"/>
      <c r="B131" s="74"/>
      <c r="C131" s="17">
        <v>2021</v>
      </c>
      <c r="D131" s="43">
        <v>618395061219</v>
      </c>
      <c r="E131" s="43">
        <v>3300848622529</v>
      </c>
      <c r="F131" s="44">
        <f t="shared" si="1"/>
        <v>0.18734426565287515</v>
      </c>
    </row>
    <row r="132" spans="1:6" ht="15.75" x14ac:dyDescent="0.25">
      <c r="A132" s="74"/>
      <c r="B132" s="74"/>
      <c r="C132" s="17">
        <v>2022</v>
      </c>
      <c r="D132" s="43">
        <v>662339075974</v>
      </c>
      <c r="E132" s="43">
        <v>3928398773915</v>
      </c>
      <c r="F132" s="44">
        <f t="shared" si="1"/>
        <v>0.1686028109905757</v>
      </c>
    </row>
    <row r="133" spans="1:6" ht="15.75" x14ac:dyDescent="0.25">
      <c r="A133" s="74"/>
      <c r="B133" s="74"/>
      <c r="C133" s="17">
        <v>2023</v>
      </c>
      <c r="D133" s="43">
        <v>634723259687</v>
      </c>
      <c r="E133" s="43">
        <v>4847511375575</v>
      </c>
      <c r="F133" s="44">
        <f t="shared" si="1"/>
        <v>0.13093796187568732</v>
      </c>
    </row>
    <row r="134" spans="1:6" ht="15.75" x14ac:dyDescent="0.25">
      <c r="A134" s="74"/>
      <c r="B134" s="74"/>
      <c r="C134" s="45">
        <v>2024</v>
      </c>
      <c r="D134" s="43">
        <v>616035183328</v>
      </c>
      <c r="E134" s="43">
        <v>6146072005236</v>
      </c>
      <c r="F134" s="44">
        <f t="shared" ref="F134:F197" si="2">D134/E134</f>
        <v>0.10023234072155085</v>
      </c>
    </row>
    <row r="135" spans="1:6" ht="15.75" x14ac:dyDescent="0.25">
      <c r="A135" s="66">
        <v>27</v>
      </c>
      <c r="B135" s="68" t="s">
        <v>179</v>
      </c>
      <c r="C135" s="17">
        <v>2020</v>
      </c>
      <c r="D135" s="43">
        <v>13542437000000</v>
      </c>
      <c r="E135" s="43">
        <v>5888856000000</v>
      </c>
      <c r="F135" s="44">
        <f t="shared" si="2"/>
        <v>2.2996719566584751</v>
      </c>
    </row>
    <row r="136" spans="1:6" ht="15.75" x14ac:dyDescent="0.25">
      <c r="A136" s="74"/>
      <c r="B136" s="74"/>
      <c r="C136" s="17">
        <v>2021</v>
      </c>
      <c r="D136" s="43">
        <v>14591663000000</v>
      </c>
      <c r="E136" s="43">
        <v>6492354000000</v>
      </c>
      <c r="F136" s="44">
        <f t="shared" si="2"/>
        <v>2.2475149999522515</v>
      </c>
    </row>
    <row r="137" spans="1:6" ht="15.75" x14ac:dyDescent="0.25">
      <c r="A137" s="74"/>
      <c r="B137" s="74"/>
      <c r="C137" s="17">
        <v>2022</v>
      </c>
      <c r="D137" s="43">
        <v>16841410000000</v>
      </c>
      <c r="E137" s="43">
        <v>6832234000000</v>
      </c>
      <c r="F137" s="44">
        <f t="shared" si="2"/>
        <v>2.4649931486538663</v>
      </c>
    </row>
    <row r="138" spans="1:6" ht="15.75" x14ac:dyDescent="0.25">
      <c r="A138" s="74"/>
      <c r="B138" s="74"/>
      <c r="C138" s="17">
        <v>2023</v>
      </c>
      <c r="D138" s="43">
        <v>17680467000000</v>
      </c>
      <c r="E138" s="43">
        <v>8202858000000</v>
      </c>
      <c r="F138" s="44">
        <f t="shared" si="2"/>
        <v>2.1554032752974632</v>
      </c>
    </row>
    <row r="139" spans="1:6" ht="15.75" x14ac:dyDescent="0.25">
      <c r="A139" s="74"/>
      <c r="B139" s="74"/>
      <c r="C139" s="45">
        <v>2024</v>
      </c>
      <c r="D139" s="43">
        <v>19315115000000</v>
      </c>
      <c r="E139" s="43">
        <v>8448434000000</v>
      </c>
      <c r="F139" s="44">
        <f t="shared" si="2"/>
        <v>2.2862361237597404</v>
      </c>
    </row>
    <row r="140" spans="1:6" ht="15.75" x14ac:dyDescent="0.25">
      <c r="A140" s="66">
        <v>28</v>
      </c>
      <c r="B140" s="68" t="s">
        <v>180</v>
      </c>
      <c r="C140" s="17">
        <v>2020</v>
      </c>
      <c r="D140" s="43">
        <v>1763283969693</v>
      </c>
      <c r="E140" s="43">
        <v>1598672228267</v>
      </c>
      <c r="F140" s="44">
        <f t="shared" si="2"/>
        <v>1.1029677869643379</v>
      </c>
    </row>
    <row r="141" spans="1:6" ht="15.75" x14ac:dyDescent="0.25">
      <c r="A141" s="74"/>
      <c r="B141" s="74"/>
      <c r="C141" s="17">
        <v>2021</v>
      </c>
      <c r="D141" s="43">
        <v>1643370252313</v>
      </c>
      <c r="E141" s="43">
        <v>1760590755177</v>
      </c>
      <c r="F141" s="44">
        <f t="shared" si="2"/>
        <v>0.93341978962497996</v>
      </c>
    </row>
    <row r="142" spans="1:6" ht="15.75" x14ac:dyDescent="0.25">
      <c r="A142" s="74"/>
      <c r="B142" s="74"/>
      <c r="C142" s="17">
        <v>2022</v>
      </c>
      <c r="D142" s="43">
        <v>2133663000000</v>
      </c>
      <c r="E142" s="43">
        <v>2045289129558</v>
      </c>
      <c r="F142" s="44">
        <f t="shared" si="2"/>
        <v>1.0432084975981357</v>
      </c>
    </row>
    <row r="143" spans="1:6" ht="15.75" x14ac:dyDescent="0.25">
      <c r="A143" s="74"/>
      <c r="B143" s="74"/>
      <c r="C143" s="17">
        <v>2023</v>
      </c>
      <c r="D143" s="43">
        <v>2365654000000</v>
      </c>
      <c r="E143" s="43">
        <v>2200352000000</v>
      </c>
      <c r="F143" s="44">
        <f t="shared" si="2"/>
        <v>1.0751252526868429</v>
      </c>
    </row>
    <row r="144" spans="1:6" ht="15.75" x14ac:dyDescent="0.25">
      <c r="A144" s="74"/>
      <c r="B144" s="74"/>
      <c r="C144" s="45">
        <v>2024</v>
      </c>
      <c r="D144" s="43">
        <v>2357124000000</v>
      </c>
      <c r="E144" s="43">
        <v>2319126000000</v>
      </c>
      <c r="F144" s="44">
        <f t="shared" si="2"/>
        <v>1.0163846207579925</v>
      </c>
    </row>
    <row r="145" spans="1:6" ht="15.75" x14ac:dyDescent="0.25">
      <c r="A145" s="66">
        <v>29</v>
      </c>
      <c r="B145" s="68" t="s">
        <v>181</v>
      </c>
      <c r="C145" s="17">
        <v>2020</v>
      </c>
      <c r="D145" s="43">
        <v>3972379000000</v>
      </c>
      <c r="E145" s="43">
        <v>4781737000000</v>
      </c>
      <c r="F145" s="44">
        <f t="shared" si="2"/>
        <v>0.83073975001134526</v>
      </c>
    </row>
    <row r="146" spans="1:6" ht="15.75" x14ac:dyDescent="0.25">
      <c r="A146" s="74"/>
      <c r="B146" s="74"/>
      <c r="C146" s="17">
        <v>2021</v>
      </c>
      <c r="D146" s="43">
        <v>2268730000000</v>
      </c>
      <c r="E146" s="43">
        <v>5138126000000</v>
      </c>
      <c r="F146" s="44">
        <f t="shared" si="2"/>
        <v>0.44154814420666211</v>
      </c>
    </row>
    <row r="147" spans="1:6" ht="15.75" x14ac:dyDescent="0.25">
      <c r="A147" s="74"/>
      <c r="B147" s="74"/>
      <c r="C147" s="17">
        <v>2022</v>
      </c>
      <c r="D147" s="43">
        <v>1553696000000</v>
      </c>
      <c r="E147" s="43">
        <v>5822679000000</v>
      </c>
      <c r="F147" s="44">
        <f t="shared" si="2"/>
        <v>0.26683524886053311</v>
      </c>
    </row>
    <row r="148" spans="1:6" ht="15.75" x14ac:dyDescent="0.25">
      <c r="A148" s="74"/>
      <c r="B148" s="74"/>
      <c r="C148" s="17">
        <v>2023</v>
      </c>
      <c r="D148" s="43">
        <v>836988000000</v>
      </c>
      <c r="E148" s="43">
        <v>6686968000000</v>
      </c>
      <c r="F148" s="44">
        <f t="shared" si="2"/>
        <v>0.12516704132575482</v>
      </c>
    </row>
    <row r="149" spans="1:6" ht="15.75" x14ac:dyDescent="0.25">
      <c r="A149" s="74"/>
      <c r="B149" s="74"/>
      <c r="C149" s="45">
        <v>2024</v>
      </c>
      <c r="D149" s="43">
        <v>1034447000000</v>
      </c>
      <c r="E149" s="43">
        <v>7426918000000</v>
      </c>
      <c r="F149" s="44">
        <f t="shared" si="2"/>
        <v>0.1392834820581027</v>
      </c>
    </row>
    <row r="150" spans="1:6" ht="15.75" x14ac:dyDescent="0.25">
      <c r="A150" s="66">
        <v>30</v>
      </c>
      <c r="B150" s="68" t="s">
        <v>182</v>
      </c>
      <c r="C150" s="17">
        <v>2020</v>
      </c>
      <c r="D150" s="43">
        <v>15597264000000</v>
      </c>
      <c r="E150" s="43">
        <v>4937368000000</v>
      </c>
      <c r="F150" s="44">
        <f t="shared" si="2"/>
        <v>3.1590239982111927</v>
      </c>
    </row>
    <row r="151" spans="1:6" ht="15.75" x14ac:dyDescent="0.25">
      <c r="A151" s="74"/>
      <c r="B151" s="74"/>
      <c r="C151" s="17">
        <v>2021</v>
      </c>
      <c r="D151" s="43">
        <v>14747263000000</v>
      </c>
      <c r="E151" s="43">
        <v>4321269000000</v>
      </c>
      <c r="F151" s="44">
        <f t="shared" si="2"/>
        <v>3.412715801770267</v>
      </c>
    </row>
    <row r="152" spans="1:6" ht="15.75" x14ac:dyDescent="0.25">
      <c r="A152" s="74"/>
      <c r="B152" s="74"/>
      <c r="C152" s="17">
        <v>2022</v>
      </c>
      <c r="D152" s="43">
        <v>14320858000000</v>
      </c>
      <c r="E152" s="43">
        <v>3997256000000</v>
      </c>
      <c r="F152" s="44">
        <f t="shared" si="2"/>
        <v>3.5826722131382129</v>
      </c>
    </row>
    <row r="153" spans="1:6" ht="15.75" x14ac:dyDescent="0.25">
      <c r="A153" s="74"/>
      <c r="B153" s="74"/>
      <c r="C153" s="17">
        <v>2023</v>
      </c>
      <c r="D153" s="43">
        <v>13282848000000</v>
      </c>
      <c r="E153" s="43">
        <v>3381238000000</v>
      </c>
      <c r="F153" s="44">
        <f t="shared" si="2"/>
        <v>3.9283978235190777</v>
      </c>
    </row>
    <row r="154" spans="1:6" ht="15.75" x14ac:dyDescent="0.25">
      <c r="A154" s="74"/>
      <c r="B154" s="74"/>
      <c r="C154" s="45">
        <v>2024</v>
      </c>
      <c r="D154" s="43">
        <v>13896928000000</v>
      </c>
      <c r="E154" s="43">
        <v>2149267000000</v>
      </c>
      <c r="F154" s="44">
        <f t="shared" si="2"/>
        <v>6.4658918598759483</v>
      </c>
    </row>
    <row r="155" spans="1:6" ht="15.75" x14ac:dyDescent="0.25">
      <c r="A155" s="66">
        <v>31</v>
      </c>
      <c r="B155" s="68" t="s">
        <v>183</v>
      </c>
      <c r="C155" s="17">
        <v>2020</v>
      </c>
      <c r="D155" s="43">
        <v>428590166019</v>
      </c>
      <c r="E155" s="43">
        <v>1185851841509</v>
      </c>
      <c r="F155" s="44">
        <f t="shared" si="2"/>
        <v>0.36141965717540037</v>
      </c>
    </row>
    <row r="156" spans="1:6" ht="15.75" x14ac:dyDescent="0.25">
      <c r="A156" s="74"/>
      <c r="B156" s="74"/>
      <c r="C156" s="17">
        <v>2021</v>
      </c>
      <c r="D156" s="43">
        <v>572784572607</v>
      </c>
      <c r="E156" s="43">
        <v>1318385158595</v>
      </c>
      <c r="F156" s="44">
        <f t="shared" si="2"/>
        <v>0.43445920858015058</v>
      </c>
    </row>
    <row r="157" spans="1:6" ht="15.75" x14ac:dyDescent="0.25">
      <c r="A157" s="74"/>
      <c r="B157" s="74"/>
      <c r="C157" s="17">
        <v>2022</v>
      </c>
      <c r="D157" s="43">
        <v>667866337031</v>
      </c>
      <c r="E157" s="43">
        <v>1500927506265</v>
      </c>
      <c r="F157" s="44">
        <f t="shared" si="2"/>
        <v>0.4449690836121456</v>
      </c>
    </row>
    <row r="158" spans="1:6" ht="15.75" x14ac:dyDescent="0.25">
      <c r="A158" s="74"/>
      <c r="B158" s="74"/>
      <c r="C158" s="17">
        <v>2023</v>
      </c>
      <c r="D158" s="43">
        <v>728434659389</v>
      </c>
      <c r="E158" s="43">
        <v>1847322308256</v>
      </c>
      <c r="F158" s="44">
        <f t="shared" si="2"/>
        <v>0.39431920252004787</v>
      </c>
    </row>
    <row r="159" spans="1:6" ht="15.75" x14ac:dyDescent="0.25">
      <c r="A159" s="74"/>
      <c r="B159" s="74"/>
      <c r="C159" s="45">
        <v>2024</v>
      </c>
      <c r="D159" s="43">
        <v>1110516776947</v>
      </c>
      <c r="E159" s="43">
        <v>1916378498721</v>
      </c>
      <c r="F159" s="44">
        <f t="shared" si="2"/>
        <v>0.57948718256240306</v>
      </c>
    </row>
    <row r="160" spans="1:6" ht="15.75" x14ac:dyDescent="0.25">
      <c r="A160" s="66">
        <v>32</v>
      </c>
      <c r="B160" s="68" t="s">
        <v>184</v>
      </c>
      <c r="C160" s="17">
        <v>2020</v>
      </c>
      <c r="D160" s="43">
        <v>416194010942</v>
      </c>
      <c r="E160" s="43">
        <v>894746110680</v>
      </c>
      <c r="F160" s="44">
        <f t="shared" si="2"/>
        <v>0.46515319370954944</v>
      </c>
    </row>
    <row r="161" spans="1:7" ht="15.75" x14ac:dyDescent="0.25">
      <c r="A161" s="74"/>
      <c r="B161" s="74"/>
      <c r="C161" s="17">
        <v>2021</v>
      </c>
      <c r="D161" s="43">
        <v>399382035465</v>
      </c>
      <c r="E161" s="43">
        <v>1025649045711</v>
      </c>
      <c r="F161" s="44">
        <f t="shared" si="2"/>
        <v>0.38939443968198745</v>
      </c>
    </row>
    <row r="162" spans="1:7" ht="15.75" x14ac:dyDescent="0.25">
      <c r="A162" s="74"/>
      <c r="B162" s="74"/>
      <c r="C162" s="17">
        <v>2022</v>
      </c>
      <c r="D162" s="43">
        <v>581132890435</v>
      </c>
      <c r="E162" s="43">
        <v>1209171716345</v>
      </c>
      <c r="F162" s="44">
        <f t="shared" si="2"/>
        <v>0.48060410492531863</v>
      </c>
    </row>
    <row r="163" spans="1:7" ht="15.75" x14ac:dyDescent="0.25">
      <c r="A163" s="74"/>
      <c r="B163" s="74"/>
      <c r="C163" s="17">
        <v>2023</v>
      </c>
      <c r="D163" s="43">
        <v>781642680910</v>
      </c>
      <c r="E163" s="43">
        <v>1514585030778</v>
      </c>
      <c r="F163" s="44">
        <f t="shared" si="2"/>
        <v>0.51607712015250273</v>
      </c>
    </row>
    <row r="164" spans="1:7" ht="15.75" x14ac:dyDescent="0.25">
      <c r="A164" s="74"/>
      <c r="B164" s="74"/>
      <c r="C164" s="45">
        <v>2024</v>
      </c>
      <c r="D164" s="43">
        <v>733610559278</v>
      </c>
      <c r="E164" s="43">
        <v>1929776447634</v>
      </c>
      <c r="F164" s="44">
        <f t="shared" si="2"/>
        <v>0.38015313130048939</v>
      </c>
    </row>
    <row r="165" spans="1:7" ht="15.75" x14ac:dyDescent="0.25">
      <c r="A165" s="66">
        <v>33</v>
      </c>
      <c r="B165" s="68" t="s">
        <v>185</v>
      </c>
      <c r="C165" s="17">
        <v>2020</v>
      </c>
      <c r="D165" s="43">
        <f>56665064940+68496672000</f>
        <v>125161736940</v>
      </c>
      <c r="E165" s="43">
        <v>961711929701</v>
      </c>
      <c r="F165" s="44">
        <f t="shared" si="2"/>
        <v>0.13014472741220259</v>
      </c>
    </row>
    <row r="166" spans="1:7" ht="15.75" x14ac:dyDescent="0.25">
      <c r="A166" s="74"/>
      <c r="B166" s="74"/>
      <c r="C166" s="17">
        <v>2021</v>
      </c>
      <c r="D166" s="43">
        <f>64332022572+60113618000</f>
        <v>124445640572</v>
      </c>
      <c r="E166" s="43">
        <v>1022814971131</v>
      </c>
      <c r="F166" s="44">
        <f t="shared" si="2"/>
        <v>0.12166974876637904</v>
      </c>
      <c r="G166" s="24"/>
    </row>
    <row r="167" spans="1:7" ht="15.75" x14ac:dyDescent="0.25">
      <c r="A167" s="74"/>
      <c r="B167" s="74"/>
      <c r="C167" s="17">
        <v>2022</v>
      </c>
      <c r="D167" s="43">
        <f>72411790397+60911639000</f>
        <v>133323429397</v>
      </c>
      <c r="E167" s="43">
        <v>941454031015</v>
      </c>
      <c r="F167" s="44">
        <f t="shared" si="2"/>
        <v>0.1416143805271739</v>
      </c>
    </row>
    <row r="168" spans="1:7" ht="15.75" x14ac:dyDescent="0.25">
      <c r="A168" s="74"/>
      <c r="B168" s="74"/>
      <c r="C168" s="17">
        <v>2023</v>
      </c>
      <c r="D168" s="43">
        <f>78024161155+58062761000</f>
        <v>136086922155</v>
      </c>
      <c r="E168" s="43">
        <v>952639271054</v>
      </c>
      <c r="F168" s="44">
        <f t="shared" si="2"/>
        <v>0.14285252171520646</v>
      </c>
    </row>
    <row r="169" spans="1:7" ht="15.75" x14ac:dyDescent="0.25">
      <c r="A169" s="74"/>
      <c r="B169" s="74"/>
      <c r="C169" s="45">
        <v>2024</v>
      </c>
      <c r="D169" s="43">
        <v>148194431953</v>
      </c>
      <c r="E169" s="43">
        <v>934979192879</v>
      </c>
      <c r="F169" s="44">
        <f t="shared" si="2"/>
        <v>0.15850024586822919</v>
      </c>
    </row>
    <row r="170" spans="1:7" ht="15.75" x14ac:dyDescent="0.25">
      <c r="A170" s="66">
        <v>34</v>
      </c>
      <c r="B170" s="69" t="s">
        <v>186</v>
      </c>
      <c r="C170" s="17">
        <v>2020</v>
      </c>
      <c r="D170" s="43">
        <v>3713983005151</v>
      </c>
      <c r="E170" s="43">
        <v>2956960513535</v>
      </c>
      <c r="F170" s="44">
        <f t="shared" si="2"/>
        <v>1.2560137303663184</v>
      </c>
      <c r="G170" s="24"/>
    </row>
    <row r="171" spans="1:7" ht="15.75" x14ac:dyDescent="0.25">
      <c r="A171" s="74"/>
      <c r="B171" s="75"/>
      <c r="C171" s="17">
        <v>2021</v>
      </c>
      <c r="D171" s="43">
        <v>3735944249731</v>
      </c>
      <c r="E171" s="43">
        <v>3030658030412</v>
      </c>
      <c r="F171" s="44">
        <f t="shared" si="2"/>
        <v>1.2327171895481459</v>
      </c>
      <c r="G171" s="24"/>
    </row>
    <row r="172" spans="1:7" ht="15.75" x14ac:dyDescent="0.25">
      <c r="A172" s="74"/>
      <c r="B172" s="75"/>
      <c r="C172" s="17">
        <v>2022</v>
      </c>
      <c r="D172" s="43">
        <v>3975927432106</v>
      </c>
      <c r="E172" s="43">
        <v>3351444502184</v>
      </c>
      <c r="F172" s="44">
        <f t="shared" si="2"/>
        <v>1.1863324693322685</v>
      </c>
      <c r="G172" s="24"/>
    </row>
    <row r="173" spans="1:7" ht="15.75" x14ac:dyDescent="0.25">
      <c r="A173" s="74"/>
      <c r="B173" s="75"/>
      <c r="C173" s="17">
        <v>2023</v>
      </c>
      <c r="D173" s="43">
        <v>3518496516469</v>
      </c>
      <c r="E173" s="43">
        <v>3909211386219</v>
      </c>
      <c r="F173" s="44">
        <f t="shared" si="2"/>
        <v>0.90005276482940455</v>
      </c>
      <c r="G173" s="24"/>
    </row>
    <row r="174" spans="1:7" ht="15.75" x14ac:dyDescent="0.25">
      <c r="A174" s="74"/>
      <c r="B174" s="75"/>
      <c r="C174" s="45">
        <v>2024</v>
      </c>
      <c r="D174" s="43">
        <v>4425889971924</v>
      </c>
      <c r="E174" s="43">
        <v>4005836794768</v>
      </c>
      <c r="F174" s="44">
        <f t="shared" si="2"/>
        <v>1.1048602823022218</v>
      </c>
    </row>
    <row r="175" spans="1:7" ht="15.75" x14ac:dyDescent="0.25">
      <c r="A175" s="66">
        <v>35</v>
      </c>
      <c r="B175" s="68" t="s">
        <v>189</v>
      </c>
      <c r="C175" s="17">
        <v>2020</v>
      </c>
      <c r="D175" s="43">
        <v>225250911830</v>
      </c>
      <c r="E175" s="43">
        <v>279826257009</v>
      </c>
      <c r="F175" s="44">
        <f t="shared" si="2"/>
        <v>0.80496703289268279</v>
      </c>
    </row>
    <row r="176" spans="1:7" ht="15.75" x14ac:dyDescent="0.25">
      <c r="A176" s="74"/>
      <c r="B176" s="74"/>
      <c r="C176" s="17">
        <v>2021</v>
      </c>
      <c r="D176" s="43">
        <v>202024664317</v>
      </c>
      <c r="E176" s="43">
        <v>324679509187</v>
      </c>
      <c r="F176" s="44">
        <f t="shared" si="2"/>
        <v>0.62222794663842917</v>
      </c>
    </row>
    <row r="177" spans="1:6" ht="15.75" x14ac:dyDescent="0.25">
      <c r="A177" s="74"/>
      <c r="B177" s="74"/>
      <c r="C177" s="17">
        <v>2022</v>
      </c>
      <c r="D177" s="43">
        <v>188886108964</v>
      </c>
      <c r="E177" s="43">
        <v>364321203318</v>
      </c>
      <c r="F177" s="44">
        <f t="shared" si="2"/>
        <v>0.518460378489499</v>
      </c>
    </row>
    <row r="178" spans="1:6" ht="15.75" x14ac:dyDescent="0.25">
      <c r="A178" s="74"/>
      <c r="B178" s="74"/>
      <c r="C178" s="17">
        <v>2023</v>
      </c>
      <c r="D178" s="43">
        <v>162422114987</v>
      </c>
      <c r="E178" s="43">
        <v>397931210948</v>
      </c>
      <c r="F178" s="44">
        <f t="shared" si="2"/>
        <v>0.40816631246405211</v>
      </c>
    </row>
    <row r="179" spans="1:6" ht="15.75" x14ac:dyDescent="0.25">
      <c r="A179" s="74"/>
      <c r="B179" s="74"/>
      <c r="C179" s="45">
        <v>2024</v>
      </c>
      <c r="D179" s="43">
        <v>204086954705</v>
      </c>
      <c r="E179" s="43">
        <v>433296166019</v>
      </c>
      <c r="F179" s="44">
        <f t="shared" si="2"/>
        <v>0.47101029436768849</v>
      </c>
    </row>
    <row r="180" spans="1:6" ht="15.75" x14ac:dyDescent="0.25">
      <c r="A180" s="66">
        <v>36</v>
      </c>
      <c r="B180" s="68" t="s">
        <v>187</v>
      </c>
      <c r="C180" s="17">
        <v>2020</v>
      </c>
      <c r="D180" s="43">
        <v>233905945919</v>
      </c>
      <c r="E180" s="43">
        <v>440900964118</v>
      </c>
      <c r="F180" s="44">
        <f t="shared" si="2"/>
        <v>0.53051810940562805</v>
      </c>
    </row>
    <row r="181" spans="1:6" ht="15.75" x14ac:dyDescent="0.25">
      <c r="A181" s="74"/>
      <c r="B181" s="74"/>
      <c r="C181" s="17">
        <v>2021</v>
      </c>
      <c r="D181" s="43">
        <v>181900755126</v>
      </c>
      <c r="E181" s="43">
        <v>585825528987</v>
      </c>
      <c r="F181" s="44">
        <f t="shared" si="2"/>
        <v>0.31050329172328806</v>
      </c>
    </row>
    <row r="182" spans="1:6" ht="15.75" x14ac:dyDescent="0.25">
      <c r="A182" s="74"/>
      <c r="B182" s="74"/>
      <c r="C182" s="17">
        <v>2022</v>
      </c>
      <c r="D182" s="43">
        <v>156594539652</v>
      </c>
      <c r="E182" s="43">
        <v>703505819337</v>
      </c>
      <c r="F182" s="44">
        <f t="shared" si="2"/>
        <v>0.22259167635539714</v>
      </c>
    </row>
    <row r="183" spans="1:6" ht="15.75" x14ac:dyDescent="0.25">
      <c r="A183" s="74"/>
      <c r="B183" s="74"/>
      <c r="C183" s="17">
        <v>2023</v>
      </c>
      <c r="D183" s="43">
        <v>157605395595</v>
      </c>
      <c r="E183" s="43">
        <v>670772958412</v>
      </c>
      <c r="F183" s="44">
        <f t="shared" si="2"/>
        <v>0.23496086659205501</v>
      </c>
    </row>
    <row r="184" spans="1:6" ht="15.75" x14ac:dyDescent="0.25">
      <c r="A184" s="74"/>
      <c r="B184" s="74"/>
      <c r="C184" s="45">
        <v>2024</v>
      </c>
      <c r="D184" s="43">
        <v>234190127915</v>
      </c>
      <c r="E184" s="43">
        <v>739867728601</v>
      </c>
      <c r="F184" s="44">
        <f t="shared" si="2"/>
        <v>0.31652972397894025</v>
      </c>
    </row>
    <row r="185" spans="1:6" ht="15.75" x14ac:dyDescent="0.25">
      <c r="A185" s="66">
        <v>37</v>
      </c>
      <c r="B185" s="68" t="s">
        <v>188</v>
      </c>
      <c r="C185" s="17">
        <v>2020</v>
      </c>
      <c r="D185" s="43">
        <v>3149811000000</v>
      </c>
      <c r="E185" s="43">
        <v>4494640000000</v>
      </c>
      <c r="F185" s="44">
        <f t="shared" si="2"/>
        <v>0.70079272199775733</v>
      </c>
    </row>
    <row r="186" spans="1:6" ht="15.75" x14ac:dyDescent="0.25">
      <c r="A186" s="74"/>
      <c r="B186" s="74"/>
      <c r="C186" s="17">
        <v>2021</v>
      </c>
      <c r="D186" s="43">
        <v>2837256000000</v>
      </c>
      <c r="E186" s="43">
        <v>4940631000000</v>
      </c>
      <c r="F186" s="44">
        <f t="shared" si="2"/>
        <v>0.57426996673097019</v>
      </c>
    </row>
    <row r="187" spans="1:6" ht="15.75" x14ac:dyDescent="0.25">
      <c r="A187" s="74"/>
      <c r="B187" s="74"/>
      <c r="C187" s="17">
        <v>2022</v>
      </c>
      <c r="D187" s="43">
        <v>3218785000000</v>
      </c>
      <c r="E187" s="43">
        <v>5163753000000</v>
      </c>
      <c r="F187" s="44">
        <f t="shared" si="2"/>
        <v>0.62334216992950675</v>
      </c>
    </row>
    <row r="188" spans="1:6" ht="15.75" x14ac:dyDescent="0.25">
      <c r="A188" s="74"/>
      <c r="B188" s="74"/>
      <c r="C188" s="17">
        <v>2023</v>
      </c>
      <c r="D188" s="43">
        <v>2924204000000</v>
      </c>
      <c r="E188" s="43">
        <v>5563650000000</v>
      </c>
      <c r="F188" s="44">
        <f t="shared" si="2"/>
        <v>0.52559093400914869</v>
      </c>
    </row>
    <row r="189" spans="1:6" ht="15.75" x14ac:dyDescent="0.25">
      <c r="A189" s="74"/>
      <c r="B189" s="74"/>
      <c r="C189" s="45">
        <v>2024</v>
      </c>
      <c r="D189" s="43">
        <v>2791175000000</v>
      </c>
      <c r="E189" s="43">
        <v>5867170000000</v>
      </c>
      <c r="F189" s="44">
        <f t="shared" si="2"/>
        <v>0.47572765063906447</v>
      </c>
    </row>
    <row r="190" spans="1:6" ht="15.75" x14ac:dyDescent="0.25">
      <c r="A190" s="66">
        <v>38</v>
      </c>
      <c r="B190" s="68" t="s">
        <v>190</v>
      </c>
      <c r="C190" s="17">
        <v>2020</v>
      </c>
      <c r="D190" s="43">
        <v>826287051831</v>
      </c>
      <c r="E190" s="43">
        <v>572281469466</v>
      </c>
      <c r="F190" s="44">
        <f t="shared" si="2"/>
        <v>1.4438472952863814</v>
      </c>
    </row>
    <row r="191" spans="1:6" ht="15.75" x14ac:dyDescent="0.25">
      <c r="A191" s="74"/>
      <c r="B191" s="74"/>
      <c r="C191" s="17">
        <v>2021</v>
      </c>
      <c r="D191" s="43">
        <v>971947990544</v>
      </c>
      <c r="E191" s="43">
        <v>781292859465</v>
      </c>
      <c r="F191" s="44">
        <f t="shared" si="2"/>
        <v>1.2440251805316043</v>
      </c>
    </row>
    <row r="192" spans="1:6" ht="15.75" x14ac:dyDescent="0.25">
      <c r="A192" s="74"/>
      <c r="B192" s="74"/>
      <c r="C192" s="17">
        <v>2022</v>
      </c>
      <c r="D192" s="43">
        <v>872142115999</v>
      </c>
      <c r="E192" s="43">
        <v>1835253997038</v>
      </c>
      <c r="F192" s="44">
        <f t="shared" si="2"/>
        <v>0.47521602862960105</v>
      </c>
    </row>
    <row r="193" spans="1:6" ht="15.75" x14ac:dyDescent="0.25">
      <c r="A193" s="74"/>
      <c r="B193" s="74"/>
      <c r="C193" s="17">
        <v>2023</v>
      </c>
      <c r="D193" s="43">
        <v>727686075761</v>
      </c>
      <c r="E193" s="43">
        <v>1115171555082</v>
      </c>
      <c r="F193" s="44">
        <f t="shared" si="2"/>
        <v>0.65253285240717274</v>
      </c>
    </row>
    <row r="194" spans="1:6" ht="15.75" x14ac:dyDescent="0.25">
      <c r="A194" s="74"/>
      <c r="B194" s="74"/>
      <c r="C194" s="45">
        <v>2024</v>
      </c>
      <c r="D194" s="43">
        <v>952719259734</v>
      </c>
      <c r="E194" s="43">
        <v>1298545253348</v>
      </c>
      <c r="F194" s="44">
        <f t="shared" si="2"/>
        <v>0.73368198549694952</v>
      </c>
    </row>
    <row r="195" spans="1:6" ht="15.75" x14ac:dyDescent="0.25">
      <c r="A195" s="66">
        <v>39</v>
      </c>
      <c r="B195" s="68" t="s">
        <v>191</v>
      </c>
      <c r="C195" s="17">
        <v>2020</v>
      </c>
      <c r="D195" s="43">
        <v>1025042000000</v>
      </c>
      <c r="E195" s="43">
        <v>4655596000000</v>
      </c>
      <c r="F195" s="44">
        <f t="shared" si="2"/>
        <v>0.22017417318856705</v>
      </c>
    </row>
    <row r="196" spans="1:6" ht="15.75" x14ac:dyDescent="0.25">
      <c r="A196" s="74"/>
      <c r="B196" s="74"/>
      <c r="C196" s="17">
        <v>2021</v>
      </c>
      <c r="D196" s="43">
        <v>1277906000000</v>
      </c>
      <c r="E196" s="43">
        <v>5019381000000</v>
      </c>
      <c r="F196" s="44">
        <f t="shared" si="2"/>
        <v>0.25459434141381176</v>
      </c>
    </row>
    <row r="197" spans="1:6" ht="15.75" x14ac:dyDescent="0.25">
      <c r="A197" s="74"/>
      <c r="B197" s="74"/>
      <c r="C197" s="17">
        <v>2022</v>
      </c>
      <c r="D197" s="43">
        <v>1467035000000</v>
      </c>
      <c r="E197" s="43">
        <v>5411262000000</v>
      </c>
      <c r="F197" s="44">
        <f t="shared" si="2"/>
        <v>0.27110773789921833</v>
      </c>
    </row>
    <row r="198" spans="1:6" ht="15.75" x14ac:dyDescent="0.25">
      <c r="A198" s="74"/>
      <c r="B198" s="74"/>
      <c r="C198" s="17">
        <v>2023</v>
      </c>
      <c r="D198" s="43">
        <v>1335148000000</v>
      </c>
      <c r="E198" s="43">
        <v>5831732000000</v>
      </c>
      <c r="F198" s="44">
        <f t="shared" ref="F198:F214" si="3">D198/E198</f>
        <v>0.22894536305852189</v>
      </c>
    </row>
    <row r="199" spans="1:6" ht="15.75" x14ac:dyDescent="0.25">
      <c r="A199" s="74"/>
      <c r="B199" s="74"/>
      <c r="C199" s="45">
        <v>2024</v>
      </c>
      <c r="D199" s="43">
        <v>1249645000000</v>
      </c>
      <c r="E199" s="43">
        <v>6204451000000</v>
      </c>
      <c r="F199" s="44">
        <f t="shared" si="3"/>
        <v>0.2014110515176927</v>
      </c>
    </row>
    <row r="200" spans="1:6" ht="15.75" x14ac:dyDescent="0.25">
      <c r="A200" s="66">
        <v>40</v>
      </c>
      <c r="B200" s="68" t="s">
        <v>192</v>
      </c>
      <c r="C200" s="17">
        <v>2020</v>
      </c>
      <c r="D200" s="43">
        <v>905650752822</v>
      </c>
      <c r="E200" s="43">
        <v>526690381443</v>
      </c>
      <c r="F200" s="44">
        <f t="shared" si="3"/>
        <v>1.7195126106931045</v>
      </c>
    </row>
    <row r="201" spans="1:6" ht="15.75" x14ac:dyDescent="0.25">
      <c r="A201" s="74"/>
      <c r="B201" s="74"/>
      <c r="C201" s="17">
        <v>2021</v>
      </c>
      <c r="D201" s="43">
        <v>863528523500</v>
      </c>
      <c r="E201" s="43">
        <v>635095987703</v>
      </c>
      <c r="F201" s="44">
        <f t="shared" si="3"/>
        <v>1.3596819067038817</v>
      </c>
    </row>
    <row r="202" spans="1:6" ht="15.75" x14ac:dyDescent="0.25">
      <c r="A202" s="74"/>
      <c r="B202" s="74"/>
      <c r="C202" s="17">
        <v>2022</v>
      </c>
      <c r="D202" s="43">
        <v>842074572429</v>
      </c>
      <c r="E202" s="43">
        <v>708549398656</v>
      </c>
      <c r="F202" s="44">
        <f t="shared" si="3"/>
        <v>1.1884486445493778</v>
      </c>
    </row>
    <row r="203" spans="1:6" ht="15.75" x14ac:dyDescent="0.25">
      <c r="A203" s="74"/>
      <c r="B203" s="74"/>
      <c r="C203" s="17">
        <v>2023</v>
      </c>
      <c r="D203" s="43">
        <v>692307357059</v>
      </c>
      <c r="E203" s="43">
        <v>796841740042</v>
      </c>
      <c r="F203" s="44">
        <f t="shared" si="3"/>
        <v>0.86881412239086497</v>
      </c>
    </row>
    <row r="204" spans="1:6" ht="15.75" x14ac:dyDescent="0.25">
      <c r="A204" s="74"/>
      <c r="B204" s="74"/>
      <c r="C204" s="45">
        <v>2024</v>
      </c>
      <c r="D204" s="43">
        <v>797870353932</v>
      </c>
      <c r="E204" s="43">
        <v>965807111206</v>
      </c>
      <c r="F204" s="44">
        <f t="shared" si="3"/>
        <v>0.82611770474096224</v>
      </c>
    </row>
    <row r="205" spans="1:6" ht="15.75" x14ac:dyDescent="0.25">
      <c r="A205" s="66">
        <v>41</v>
      </c>
      <c r="B205" s="68" t="s">
        <v>193</v>
      </c>
      <c r="C205" s="17">
        <v>2020</v>
      </c>
      <c r="D205" s="43">
        <v>15576263041</v>
      </c>
      <c r="E205" s="43">
        <v>129912173543</v>
      </c>
      <c r="F205" s="44">
        <f t="shared" si="3"/>
        <v>0.11989840995035286</v>
      </c>
    </row>
    <row r="206" spans="1:6" ht="15.75" x14ac:dyDescent="0.25">
      <c r="A206" s="74"/>
      <c r="B206" s="74"/>
      <c r="C206" s="17">
        <v>2021</v>
      </c>
      <c r="D206" s="43">
        <v>36707420737</v>
      </c>
      <c r="E206" s="43">
        <v>181585343241</v>
      </c>
      <c r="F206" s="44">
        <f t="shared" si="3"/>
        <v>0.20214968940682576</v>
      </c>
    </row>
    <row r="207" spans="1:6" ht="15.75" x14ac:dyDescent="0.25">
      <c r="A207" s="74"/>
      <c r="B207" s="74"/>
      <c r="C207" s="17">
        <v>2022</v>
      </c>
      <c r="D207" s="43">
        <v>48246892240</v>
      </c>
      <c r="E207" s="43">
        <v>185074524724</v>
      </c>
      <c r="F207" s="44">
        <f t="shared" si="3"/>
        <v>0.26068899710508597</v>
      </c>
    </row>
    <row r="208" spans="1:6" ht="15.75" x14ac:dyDescent="0.25">
      <c r="A208" s="74"/>
      <c r="B208" s="74"/>
      <c r="C208" s="17">
        <v>2023</v>
      </c>
      <c r="D208" s="43">
        <v>37541840078</v>
      </c>
      <c r="E208" s="43">
        <v>207612551051</v>
      </c>
      <c r="F208" s="44">
        <f t="shared" si="3"/>
        <v>0.18082644757241989</v>
      </c>
    </row>
    <row r="209" spans="1:6" ht="15.75" x14ac:dyDescent="0.25">
      <c r="A209" s="74"/>
      <c r="B209" s="74"/>
      <c r="C209" s="45">
        <v>2024</v>
      </c>
      <c r="D209" s="43">
        <v>37467125355</v>
      </c>
      <c r="E209" s="43">
        <v>232613934667</v>
      </c>
      <c r="F209" s="44">
        <f t="shared" si="3"/>
        <v>0.16106999526333754</v>
      </c>
    </row>
    <row r="210" spans="1:6" ht="15.75" x14ac:dyDescent="0.25">
      <c r="A210" s="66">
        <v>42</v>
      </c>
      <c r="B210" s="68" t="s">
        <v>194</v>
      </c>
      <c r="C210" s="17">
        <v>2020</v>
      </c>
      <c r="D210" s="43">
        <v>329538379535</v>
      </c>
      <c r="E210" s="43">
        <v>630230650745</v>
      </c>
      <c r="F210" s="44">
        <f t="shared" si="3"/>
        <v>0.52288535815490789</v>
      </c>
    </row>
    <row r="211" spans="1:6" ht="15.75" x14ac:dyDescent="0.25">
      <c r="A211" s="74"/>
      <c r="B211" s="74"/>
      <c r="C211" s="17">
        <v>2021</v>
      </c>
      <c r="D211" s="43">
        <v>247640173947</v>
      </c>
      <c r="E211" s="43">
        <v>750156832464</v>
      </c>
      <c r="F211" s="44">
        <f t="shared" si="3"/>
        <v>0.33011786766453832</v>
      </c>
    </row>
    <row r="212" spans="1:6" ht="15.75" x14ac:dyDescent="0.25">
      <c r="A212" s="74"/>
      <c r="B212" s="74"/>
      <c r="C212" s="17">
        <v>2022</v>
      </c>
      <c r="D212" s="43">
        <v>349890773766</v>
      </c>
      <c r="E212" s="43">
        <v>801013449120</v>
      </c>
      <c r="F212" s="44">
        <f t="shared" si="3"/>
        <v>0.43681011117902313</v>
      </c>
    </row>
    <row r="213" spans="1:6" ht="15.75" x14ac:dyDescent="0.25">
      <c r="A213" s="74"/>
      <c r="B213" s="74"/>
      <c r="C213" s="17">
        <v>2023</v>
      </c>
      <c r="D213" s="43">
        <v>229498076801</v>
      </c>
      <c r="E213" s="43">
        <v>918737261352</v>
      </c>
      <c r="F213" s="44">
        <f t="shared" si="3"/>
        <v>0.24979728857766589</v>
      </c>
    </row>
    <row r="214" spans="1:6" ht="15.75" x14ac:dyDescent="0.25">
      <c r="A214" s="74"/>
      <c r="B214" s="74"/>
      <c r="C214" s="45">
        <v>2024</v>
      </c>
      <c r="D214" s="43">
        <v>261064980740</v>
      </c>
      <c r="E214" s="43">
        <v>1023892462664</v>
      </c>
      <c r="F214" s="44">
        <f t="shared" si="3"/>
        <v>0.25497304674042798</v>
      </c>
    </row>
  </sheetData>
  <mergeCells count="85">
    <mergeCell ref="B2:F2"/>
    <mergeCell ref="A5:A9"/>
    <mergeCell ref="B5:B9"/>
    <mergeCell ref="A10:A14"/>
    <mergeCell ref="B10:B14"/>
    <mergeCell ref="A15:A19"/>
    <mergeCell ref="B15:B19"/>
    <mergeCell ref="A20:A24"/>
    <mergeCell ref="B20:B24"/>
    <mergeCell ref="A25:A29"/>
    <mergeCell ref="B25:B29"/>
    <mergeCell ref="A30:A34"/>
    <mergeCell ref="B30:B34"/>
    <mergeCell ref="A35:A39"/>
    <mergeCell ref="B35:B39"/>
    <mergeCell ref="A40:A44"/>
    <mergeCell ref="B40:B44"/>
    <mergeCell ref="A45:A49"/>
    <mergeCell ref="B45:B49"/>
    <mergeCell ref="A50:A54"/>
    <mergeCell ref="B50:B54"/>
    <mergeCell ref="A55:A59"/>
    <mergeCell ref="B55:B59"/>
    <mergeCell ref="A60:A64"/>
    <mergeCell ref="B60:B64"/>
    <mergeCell ref="A65:A69"/>
    <mergeCell ref="B65:B69"/>
    <mergeCell ref="A70:A74"/>
    <mergeCell ref="B70:B74"/>
    <mergeCell ref="A75:A79"/>
    <mergeCell ref="B75:B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B100:B104"/>
    <mergeCell ref="A105:A109"/>
    <mergeCell ref="B105:B109"/>
    <mergeCell ref="A110:A114"/>
    <mergeCell ref="B110:B114"/>
    <mergeCell ref="A115:A119"/>
    <mergeCell ref="B115:B119"/>
    <mergeCell ref="A120:A124"/>
    <mergeCell ref="B120:B124"/>
    <mergeCell ref="A125:A129"/>
    <mergeCell ref="B125:B129"/>
    <mergeCell ref="A130:A134"/>
    <mergeCell ref="B130:B134"/>
    <mergeCell ref="A135:A139"/>
    <mergeCell ref="B135:B139"/>
    <mergeCell ref="A140:A144"/>
    <mergeCell ref="B140:B144"/>
    <mergeCell ref="A145:A149"/>
    <mergeCell ref="B145:B149"/>
    <mergeCell ref="A150:A154"/>
    <mergeCell ref="B150:B154"/>
    <mergeCell ref="A155:A159"/>
    <mergeCell ref="B155:B159"/>
    <mergeCell ref="A160:A164"/>
    <mergeCell ref="B160:B164"/>
    <mergeCell ref="A165:A169"/>
    <mergeCell ref="B165:B169"/>
    <mergeCell ref="A170:A174"/>
    <mergeCell ref="B170:B174"/>
    <mergeCell ref="A175:A179"/>
    <mergeCell ref="B175:B179"/>
    <mergeCell ref="A180:A184"/>
    <mergeCell ref="B180:B184"/>
    <mergeCell ref="A185:A189"/>
    <mergeCell ref="B185:B189"/>
    <mergeCell ref="A190:A194"/>
    <mergeCell ref="B190:B194"/>
    <mergeCell ref="A210:A214"/>
    <mergeCell ref="B210:B214"/>
    <mergeCell ref="A195:A199"/>
    <mergeCell ref="B195:B199"/>
    <mergeCell ref="A200:A204"/>
    <mergeCell ref="B200:B204"/>
    <mergeCell ref="A205:A209"/>
    <mergeCell ref="B205:B209"/>
  </mergeCells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644B-E2AB-4B51-AD9A-1C3FB41C0798}">
  <dimension ref="A2:I215"/>
  <sheetViews>
    <sheetView topLeftCell="A213" zoomScaleNormal="100" workbookViewId="0">
      <selection activeCell="H126" sqref="H126"/>
    </sheetView>
  </sheetViews>
  <sheetFormatPr defaultRowHeight="15" x14ac:dyDescent="0.25"/>
  <cols>
    <col min="1" max="1" width="3.85546875" bestFit="1" customWidth="1"/>
    <col min="2" max="2" width="20.42578125" customWidth="1"/>
    <col min="3" max="3" width="9" bestFit="1" customWidth="1"/>
    <col min="4" max="4" width="21" bestFit="1" customWidth="1"/>
    <col min="5" max="5" width="19.5703125" customWidth="1"/>
    <col min="6" max="6" width="8.42578125" bestFit="1" customWidth="1"/>
    <col min="7" max="7" width="16.28515625" bestFit="1" customWidth="1"/>
    <col min="8" max="8" width="12.7109375" bestFit="1" customWidth="1"/>
    <col min="9" max="9" width="14.85546875" bestFit="1" customWidth="1"/>
  </cols>
  <sheetData>
    <row r="2" spans="1:8" ht="34.5" customHeight="1" x14ac:dyDescent="0.25">
      <c r="B2" s="76" t="s">
        <v>153</v>
      </c>
      <c r="C2" s="76"/>
      <c r="D2" s="76"/>
      <c r="E2" s="23"/>
      <c r="F2" s="23"/>
    </row>
    <row r="4" spans="1:8" ht="15.75" x14ac:dyDescent="0.25">
      <c r="A4" s="21" t="s">
        <v>1</v>
      </c>
      <c r="B4" s="21" t="s">
        <v>2</v>
      </c>
      <c r="C4" s="25" t="s">
        <v>145</v>
      </c>
      <c r="D4" s="26" t="s">
        <v>146</v>
      </c>
      <c r="E4" s="48" t="s">
        <v>147</v>
      </c>
      <c r="F4" s="27" t="s">
        <v>148</v>
      </c>
      <c r="G4" s="18"/>
      <c r="H4" s="18"/>
    </row>
    <row r="5" spans="1:8" ht="15" customHeight="1" x14ac:dyDescent="0.25">
      <c r="A5" s="66">
        <v>1</v>
      </c>
      <c r="B5" s="68" t="s">
        <v>149</v>
      </c>
      <c r="C5" s="36">
        <v>2020</v>
      </c>
      <c r="D5" s="32">
        <v>893779000000</v>
      </c>
      <c r="E5" s="49">
        <v>1924688333</v>
      </c>
      <c r="F5" s="33">
        <f>D5/E5</f>
        <v>464.37596398107331</v>
      </c>
    </row>
    <row r="6" spans="1:8" ht="15" customHeight="1" x14ac:dyDescent="0.25">
      <c r="A6" s="77"/>
      <c r="B6" s="77"/>
      <c r="C6" s="36">
        <v>2021</v>
      </c>
      <c r="D6" s="32">
        <v>2067362000000</v>
      </c>
      <c r="E6" s="49">
        <f>E5</f>
        <v>1924688333</v>
      </c>
      <c r="F6" s="33">
        <f t="shared" ref="F6:F69" si="0">D6/E6</f>
        <v>1074.1281923695228</v>
      </c>
    </row>
    <row r="7" spans="1:8" ht="15" customHeight="1" x14ac:dyDescent="0.25">
      <c r="A7" s="77"/>
      <c r="B7" s="77"/>
      <c r="C7" s="36">
        <v>2022</v>
      </c>
      <c r="D7" s="32">
        <v>1792050000000</v>
      </c>
      <c r="E7" s="49">
        <f>E6</f>
        <v>1924688333</v>
      </c>
      <c r="F7" s="33">
        <f t="shared" si="0"/>
        <v>931.08581232304903</v>
      </c>
    </row>
    <row r="8" spans="1:8" ht="15" customHeight="1" x14ac:dyDescent="0.25">
      <c r="A8" s="77"/>
      <c r="B8" s="77"/>
      <c r="C8" s="36">
        <v>2023</v>
      </c>
      <c r="D8" s="32">
        <v>1088170000000</v>
      </c>
      <c r="E8" s="49">
        <f>E7</f>
        <v>1924688333</v>
      </c>
      <c r="F8" s="33">
        <f t="shared" si="0"/>
        <v>565.37465382973255</v>
      </c>
    </row>
    <row r="9" spans="1:8" ht="15" customHeight="1" x14ac:dyDescent="0.25">
      <c r="A9" s="77"/>
      <c r="B9" s="77"/>
      <c r="C9" s="34">
        <v>2024</v>
      </c>
      <c r="D9" s="35">
        <v>1186783000000</v>
      </c>
      <c r="E9" s="49">
        <f>E8</f>
        <v>1924688333</v>
      </c>
      <c r="F9" s="33">
        <f t="shared" si="0"/>
        <v>616.61048163063811</v>
      </c>
    </row>
    <row r="10" spans="1:8" ht="15" customHeight="1" x14ac:dyDescent="0.25">
      <c r="A10" s="66">
        <v>2</v>
      </c>
      <c r="B10" s="68" t="s">
        <v>150</v>
      </c>
      <c r="C10" s="36">
        <v>2020</v>
      </c>
      <c r="D10" s="32">
        <v>135789000000</v>
      </c>
      <c r="E10" s="49">
        <v>589896800</v>
      </c>
      <c r="F10" s="33">
        <f t="shared" si="0"/>
        <v>230.19111139439983</v>
      </c>
    </row>
    <row r="11" spans="1:8" ht="15" customHeight="1" x14ac:dyDescent="0.25">
      <c r="A11" s="77"/>
      <c r="B11" s="77"/>
      <c r="C11" s="36">
        <v>2021</v>
      </c>
      <c r="D11" s="32">
        <v>265758000000</v>
      </c>
      <c r="E11" s="49">
        <f>E10</f>
        <v>589896800</v>
      </c>
      <c r="F11" s="33">
        <f t="shared" si="0"/>
        <v>450.51609027206115</v>
      </c>
    </row>
    <row r="12" spans="1:8" ht="15" customHeight="1" x14ac:dyDescent="0.25">
      <c r="A12" s="77"/>
      <c r="B12" s="77"/>
      <c r="C12" s="36">
        <v>2022</v>
      </c>
      <c r="D12" s="32">
        <v>364972000000</v>
      </c>
      <c r="E12" s="49">
        <f>E11</f>
        <v>589896800</v>
      </c>
      <c r="F12" s="33">
        <f t="shared" si="0"/>
        <v>618.70483108231815</v>
      </c>
    </row>
    <row r="13" spans="1:8" ht="15" customHeight="1" x14ac:dyDescent="0.25">
      <c r="A13" s="77"/>
      <c r="B13" s="77"/>
      <c r="C13" s="36">
        <v>2023</v>
      </c>
      <c r="D13" s="32">
        <v>395798000000</v>
      </c>
      <c r="E13" s="49">
        <f>E12</f>
        <v>589896800</v>
      </c>
      <c r="F13" s="33">
        <f t="shared" si="0"/>
        <v>670.96142918557962</v>
      </c>
    </row>
    <row r="14" spans="1:8" ht="15" customHeight="1" x14ac:dyDescent="0.25">
      <c r="A14" s="77"/>
      <c r="B14" s="77"/>
      <c r="C14" s="34">
        <v>2024</v>
      </c>
      <c r="D14" s="35">
        <v>527368000000</v>
      </c>
      <c r="E14" s="49">
        <f>E13</f>
        <v>589896800</v>
      </c>
      <c r="F14" s="33">
        <f t="shared" si="0"/>
        <v>894.00044211123031</v>
      </c>
    </row>
    <row r="15" spans="1:8" ht="15" customHeight="1" x14ac:dyDescent="0.25">
      <c r="A15" s="66">
        <v>3</v>
      </c>
      <c r="B15" s="68" t="s">
        <v>151</v>
      </c>
      <c r="C15" s="36">
        <v>2020</v>
      </c>
      <c r="D15" s="32">
        <v>1088477000000</v>
      </c>
      <c r="E15" s="49">
        <v>41524501700</v>
      </c>
      <c r="F15" s="33">
        <f t="shared" si="0"/>
        <v>26.212885295141302</v>
      </c>
    </row>
    <row r="16" spans="1:8" ht="15" customHeight="1" x14ac:dyDescent="0.25">
      <c r="A16" s="77"/>
      <c r="B16" s="77"/>
      <c r="C16" s="36">
        <v>2021</v>
      </c>
      <c r="D16" s="32">
        <v>1963050000000</v>
      </c>
      <c r="E16" s="49">
        <f>E15</f>
        <v>41524501700</v>
      </c>
      <c r="F16" s="33">
        <f t="shared" si="0"/>
        <v>47.274498660630528</v>
      </c>
    </row>
    <row r="17" spans="1:6" ht="15" customHeight="1" x14ac:dyDescent="0.25">
      <c r="A17" s="77"/>
      <c r="B17" s="77"/>
      <c r="C17" s="36">
        <v>2022</v>
      </c>
      <c r="D17" s="32">
        <v>2907478000000</v>
      </c>
      <c r="E17" s="49">
        <f>E16</f>
        <v>41524501700</v>
      </c>
      <c r="F17" s="33">
        <f t="shared" si="0"/>
        <v>70.018371827927311</v>
      </c>
    </row>
    <row r="18" spans="1:6" ht="15" customHeight="1" x14ac:dyDescent="0.25">
      <c r="A18" s="77"/>
      <c r="B18" s="77"/>
      <c r="C18" s="36">
        <v>2023</v>
      </c>
      <c r="D18" s="32">
        <v>3484025000000</v>
      </c>
      <c r="E18" s="49">
        <f>E17</f>
        <v>41524501700</v>
      </c>
      <c r="F18" s="33">
        <f t="shared" si="0"/>
        <v>83.90287318005312</v>
      </c>
    </row>
    <row r="19" spans="1:6" ht="15" customHeight="1" x14ac:dyDescent="0.25">
      <c r="A19" s="77"/>
      <c r="B19" s="77"/>
      <c r="C19" s="34">
        <v>2024</v>
      </c>
      <c r="D19" s="35">
        <v>3220083000000</v>
      </c>
      <c r="E19" s="49">
        <f>E18</f>
        <v>41524501700</v>
      </c>
      <c r="F19" s="33">
        <f t="shared" si="0"/>
        <v>77.546577759414745</v>
      </c>
    </row>
    <row r="20" spans="1:6" ht="15.75" x14ac:dyDescent="0.25">
      <c r="A20" s="66">
        <v>4</v>
      </c>
      <c r="B20" s="68" t="s">
        <v>156</v>
      </c>
      <c r="C20" s="36">
        <v>2020</v>
      </c>
      <c r="D20" s="32">
        <v>275667000000</v>
      </c>
      <c r="E20" s="49">
        <v>3000000000</v>
      </c>
      <c r="F20" s="33">
        <f t="shared" si="0"/>
        <v>91.888999999999996</v>
      </c>
    </row>
    <row r="21" spans="1:6" ht="15.75" x14ac:dyDescent="0.25">
      <c r="A21" s="77"/>
      <c r="B21" s="77"/>
      <c r="C21" s="36">
        <v>2021</v>
      </c>
      <c r="D21" s="32">
        <v>380992000000</v>
      </c>
      <c r="E21" s="49">
        <f>E20</f>
        <v>3000000000</v>
      </c>
      <c r="F21" s="33">
        <f t="shared" si="0"/>
        <v>126.99733333333333</v>
      </c>
    </row>
    <row r="22" spans="1:6" ht="15.75" x14ac:dyDescent="0.25">
      <c r="A22" s="77"/>
      <c r="B22" s="77"/>
      <c r="C22" s="36">
        <v>2022</v>
      </c>
      <c r="D22" s="32">
        <v>523242000000</v>
      </c>
      <c r="E22" s="49">
        <f>E21</f>
        <v>3000000000</v>
      </c>
      <c r="F22" s="33">
        <f t="shared" si="0"/>
        <v>174.41399999999999</v>
      </c>
    </row>
    <row r="23" spans="1:6" ht="15.75" x14ac:dyDescent="0.25">
      <c r="A23" s="77"/>
      <c r="B23" s="77"/>
      <c r="C23" s="36">
        <v>2023</v>
      </c>
      <c r="D23" s="32">
        <v>595740000000</v>
      </c>
      <c r="E23" s="49">
        <f>E22</f>
        <v>3000000000</v>
      </c>
      <c r="F23" s="33">
        <f t="shared" si="0"/>
        <v>198.58</v>
      </c>
    </row>
    <row r="24" spans="1:6" ht="15.75" x14ac:dyDescent="0.25">
      <c r="A24" s="77"/>
      <c r="B24" s="77"/>
      <c r="C24" s="34">
        <v>2024</v>
      </c>
      <c r="D24" s="35">
        <v>178640000000</v>
      </c>
      <c r="E24" s="49">
        <f>E23</f>
        <v>3000000000</v>
      </c>
      <c r="F24" s="33">
        <f t="shared" si="0"/>
        <v>59.546666666666667</v>
      </c>
    </row>
    <row r="25" spans="1:6" ht="15.75" x14ac:dyDescent="0.25">
      <c r="A25" s="66">
        <v>5</v>
      </c>
      <c r="B25" s="68" t="s">
        <v>157</v>
      </c>
      <c r="C25" s="36">
        <v>2020</v>
      </c>
      <c r="D25" s="32">
        <v>67093000000</v>
      </c>
      <c r="E25" s="49">
        <v>4498997362</v>
      </c>
      <c r="F25" s="33">
        <f t="shared" si="0"/>
        <v>14.912878270765255</v>
      </c>
    </row>
    <row r="26" spans="1:6" ht="15.75" x14ac:dyDescent="0.25">
      <c r="A26" s="77"/>
      <c r="B26" s="77"/>
      <c r="C26" s="36">
        <v>2021</v>
      </c>
      <c r="D26" s="32">
        <v>91723000000</v>
      </c>
      <c r="E26" s="49">
        <f>E25</f>
        <v>4498997362</v>
      </c>
      <c r="F26" s="33">
        <f t="shared" si="0"/>
        <v>20.387431380761054</v>
      </c>
    </row>
    <row r="27" spans="1:6" ht="15.75" x14ac:dyDescent="0.25">
      <c r="A27" s="77"/>
      <c r="B27" s="77"/>
      <c r="C27" s="36">
        <v>2022</v>
      </c>
      <c r="D27" s="32">
        <v>93065000000</v>
      </c>
      <c r="E27" s="49">
        <f>E26</f>
        <v>4498997362</v>
      </c>
      <c r="F27" s="33">
        <f t="shared" si="0"/>
        <v>20.685720064220835</v>
      </c>
    </row>
    <row r="28" spans="1:6" ht="15.75" x14ac:dyDescent="0.25">
      <c r="A28" s="77"/>
      <c r="B28" s="77"/>
      <c r="C28" s="36">
        <v>2023</v>
      </c>
      <c r="D28" s="32">
        <v>102542000000</v>
      </c>
      <c r="E28" s="49">
        <f>E27</f>
        <v>4498997362</v>
      </c>
      <c r="F28" s="33">
        <f t="shared" si="0"/>
        <v>22.792189403377559</v>
      </c>
    </row>
    <row r="29" spans="1:6" ht="15.75" x14ac:dyDescent="0.25">
      <c r="A29" s="77"/>
      <c r="B29" s="77"/>
      <c r="C29" s="34">
        <v>2024</v>
      </c>
      <c r="D29" s="35">
        <v>67848000000</v>
      </c>
      <c r="E29" s="49">
        <f>E28</f>
        <v>4498997362</v>
      </c>
      <c r="F29" s="33">
        <f t="shared" si="0"/>
        <v>15.08069343917966</v>
      </c>
    </row>
    <row r="30" spans="1:6" ht="15.75" x14ac:dyDescent="0.25">
      <c r="A30" s="66">
        <v>6</v>
      </c>
      <c r="B30" s="68" t="s">
        <v>158</v>
      </c>
      <c r="C30" s="36">
        <v>2020</v>
      </c>
      <c r="D30" s="32">
        <v>181812593992</v>
      </c>
      <c r="E30" s="49">
        <v>595000000</v>
      </c>
      <c r="F30" s="33">
        <f t="shared" si="0"/>
        <v>305.56738486050421</v>
      </c>
    </row>
    <row r="31" spans="1:6" ht="15.75" x14ac:dyDescent="0.25">
      <c r="A31" s="77"/>
      <c r="B31" s="77"/>
      <c r="C31" s="36">
        <v>2021</v>
      </c>
      <c r="D31" s="32">
        <v>187066990085</v>
      </c>
      <c r="E31" s="49">
        <f>E30</f>
        <v>595000000</v>
      </c>
      <c r="F31" s="33">
        <f t="shared" si="0"/>
        <v>314.39830266386554</v>
      </c>
    </row>
    <row r="32" spans="1:6" ht="15.75" x14ac:dyDescent="0.25">
      <c r="A32" s="77"/>
      <c r="B32" s="77"/>
      <c r="C32" s="36">
        <v>2022</v>
      </c>
      <c r="D32" s="32">
        <v>220704543072</v>
      </c>
      <c r="E32" s="49">
        <f>E31</f>
        <v>595000000</v>
      </c>
      <c r="F32" s="33">
        <f t="shared" si="0"/>
        <v>370.93200516302522</v>
      </c>
    </row>
    <row r="33" spans="1:6" ht="15.75" x14ac:dyDescent="0.25">
      <c r="A33" s="77"/>
      <c r="B33" s="77"/>
      <c r="C33" s="36">
        <v>2023</v>
      </c>
      <c r="D33" s="32">
        <v>153574779624</v>
      </c>
      <c r="E33" s="49">
        <f>E32</f>
        <v>595000000</v>
      </c>
      <c r="F33" s="33">
        <f t="shared" si="0"/>
        <v>258.10887331764707</v>
      </c>
    </row>
    <row r="34" spans="1:6" ht="15.75" x14ac:dyDescent="0.25">
      <c r="A34" s="77"/>
      <c r="B34" s="77"/>
      <c r="C34" s="34">
        <v>2024</v>
      </c>
      <c r="D34" s="32">
        <v>324942516449</v>
      </c>
      <c r="E34" s="49">
        <f>E33</f>
        <v>595000000</v>
      </c>
      <c r="F34" s="33">
        <f t="shared" si="0"/>
        <v>546.12187638487399</v>
      </c>
    </row>
    <row r="35" spans="1:6" ht="15.75" x14ac:dyDescent="0.25">
      <c r="A35" s="66">
        <v>7</v>
      </c>
      <c r="B35" s="68" t="s">
        <v>159</v>
      </c>
      <c r="C35" s="36">
        <v>2020</v>
      </c>
      <c r="D35" s="32">
        <v>3845833000000</v>
      </c>
      <c r="E35" s="49">
        <v>16398000000</v>
      </c>
      <c r="F35" s="33">
        <f t="shared" si="0"/>
        <v>234.53061348944993</v>
      </c>
    </row>
    <row r="36" spans="1:6" ht="15.75" x14ac:dyDescent="0.25">
      <c r="A36" s="77"/>
      <c r="B36" s="77"/>
      <c r="C36" s="36">
        <v>2021</v>
      </c>
      <c r="D36" s="32">
        <v>3619010000000</v>
      </c>
      <c r="E36" s="50">
        <f>E35</f>
        <v>16398000000</v>
      </c>
      <c r="F36" s="33">
        <f t="shared" si="0"/>
        <v>220.69825588486401</v>
      </c>
    </row>
    <row r="37" spans="1:6" ht="15.75" x14ac:dyDescent="0.25">
      <c r="A37" s="77"/>
      <c r="B37" s="77"/>
      <c r="C37" s="36">
        <v>2022</v>
      </c>
      <c r="D37" s="32">
        <v>2930357000000</v>
      </c>
      <c r="E37" s="50">
        <f>E36</f>
        <v>16398000000</v>
      </c>
      <c r="F37" s="33">
        <f t="shared" si="0"/>
        <v>178.70209781680694</v>
      </c>
    </row>
    <row r="38" spans="1:6" ht="15.75" x14ac:dyDescent="0.25">
      <c r="A38" s="77"/>
      <c r="B38" s="77"/>
      <c r="C38" s="36">
        <v>2023</v>
      </c>
      <c r="D38" s="32">
        <v>2318088000000</v>
      </c>
      <c r="E38" s="50">
        <f>E37</f>
        <v>16398000000</v>
      </c>
      <c r="F38" s="33">
        <f t="shared" si="0"/>
        <v>141.36406878887669</v>
      </c>
    </row>
    <row r="39" spans="1:6" ht="15.75" x14ac:dyDescent="0.25">
      <c r="A39" s="77"/>
      <c r="B39" s="77"/>
      <c r="C39" s="34">
        <v>2024</v>
      </c>
      <c r="D39" s="35">
        <v>3711601000000</v>
      </c>
      <c r="E39" s="50">
        <f>E38</f>
        <v>16398000000</v>
      </c>
      <c r="F39" s="33">
        <f t="shared" si="0"/>
        <v>226.34473716306866</v>
      </c>
    </row>
    <row r="40" spans="1:6" ht="15.75" x14ac:dyDescent="0.25">
      <c r="A40" s="66">
        <v>8</v>
      </c>
      <c r="B40" s="68" t="s">
        <v>163</v>
      </c>
      <c r="C40" s="36">
        <v>2020</v>
      </c>
      <c r="D40" s="32">
        <v>381422000000</v>
      </c>
      <c r="E40" s="51">
        <v>59572382787</v>
      </c>
      <c r="F40" s="33">
        <f t="shared" si="0"/>
        <v>6.4026648281598471</v>
      </c>
    </row>
    <row r="41" spans="1:6" ht="15.75" x14ac:dyDescent="0.25">
      <c r="A41" s="77"/>
      <c r="B41" s="77"/>
      <c r="C41" s="36">
        <v>2021</v>
      </c>
      <c r="D41" s="32">
        <v>2212293000000</v>
      </c>
      <c r="E41" s="51">
        <v>59572382787</v>
      </c>
      <c r="F41" s="33">
        <f t="shared" si="0"/>
        <v>37.136218101431574</v>
      </c>
    </row>
    <row r="42" spans="1:6" ht="15.75" x14ac:dyDescent="0.25">
      <c r="A42" s="77"/>
      <c r="B42" s="77"/>
      <c r="C42" s="36">
        <v>2022</v>
      </c>
      <c r="D42" s="32">
        <v>373978000000</v>
      </c>
      <c r="E42" s="51">
        <v>59572382787</v>
      </c>
      <c r="F42" s="33">
        <f t="shared" si="0"/>
        <v>6.277707597111764</v>
      </c>
    </row>
    <row r="43" spans="1:6" ht="15.75" x14ac:dyDescent="0.25">
      <c r="A43" s="77"/>
      <c r="B43" s="77"/>
      <c r="C43" s="36">
        <v>2023</v>
      </c>
      <c r="D43" s="32">
        <v>401774000000</v>
      </c>
      <c r="E43" s="51">
        <v>59572382787</v>
      </c>
      <c r="F43" s="33">
        <f t="shared" si="0"/>
        <v>6.7442996436206997</v>
      </c>
    </row>
    <row r="44" spans="1:6" ht="15.75" x14ac:dyDescent="0.25">
      <c r="A44" s="77"/>
      <c r="B44" s="77"/>
      <c r="C44" s="34">
        <v>2024</v>
      </c>
      <c r="D44" s="32">
        <v>320155000000</v>
      </c>
      <c r="E44" s="51">
        <v>59572382787</v>
      </c>
      <c r="F44" s="33">
        <f t="shared" si="0"/>
        <v>5.3742184720847668</v>
      </c>
    </row>
    <row r="45" spans="1:6" ht="15.75" x14ac:dyDescent="0.25">
      <c r="A45" s="66">
        <v>9</v>
      </c>
      <c r="B45" s="68" t="s">
        <v>160</v>
      </c>
      <c r="C45" s="36">
        <v>2020</v>
      </c>
      <c r="D45" s="32">
        <v>123465762000</v>
      </c>
      <c r="E45" s="49">
        <v>800659050</v>
      </c>
      <c r="F45" s="33">
        <f t="shared" si="0"/>
        <v>154.20516635639103</v>
      </c>
    </row>
    <row r="46" spans="1:6" ht="15.75" x14ac:dyDescent="0.25">
      <c r="A46" s="77"/>
      <c r="B46" s="77"/>
      <c r="C46" s="36">
        <v>2021</v>
      </c>
      <c r="D46" s="32">
        <v>187992998000</v>
      </c>
      <c r="E46" s="49">
        <f>E45</f>
        <v>800659050</v>
      </c>
      <c r="F46" s="33">
        <f t="shared" si="0"/>
        <v>234.79781812245798</v>
      </c>
    </row>
    <row r="47" spans="1:6" ht="15.75" x14ac:dyDescent="0.25">
      <c r="A47" s="77"/>
      <c r="B47" s="77"/>
      <c r="C47" s="36">
        <v>2022</v>
      </c>
      <c r="D47" s="32">
        <v>230065807000</v>
      </c>
      <c r="E47" s="49">
        <f>E46</f>
        <v>800659050</v>
      </c>
      <c r="F47" s="33">
        <f t="shared" si="0"/>
        <v>287.34553990240914</v>
      </c>
    </row>
    <row r="48" spans="1:6" ht="15.75" x14ac:dyDescent="0.25">
      <c r="A48" s="77"/>
      <c r="B48" s="77"/>
      <c r="C48" s="36">
        <v>2023</v>
      </c>
      <c r="D48" s="32">
        <v>199611841000</v>
      </c>
      <c r="E48" s="49">
        <f>E47</f>
        <v>800659050</v>
      </c>
      <c r="F48" s="33">
        <f t="shared" si="0"/>
        <v>249.30941703587814</v>
      </c>
    </row>
    <row r="49" spans="1:6" ht="15.75" x14ac:dyDescent="0.25">
      <c r="A49" s="77"/>
      <c r="B49" s="77"/>
      <c r="C49" s="34">
        <v>2024</v>
      </c>
      <c r="D49" s="35">
        <v>142367399000</v>
      </c>
      <c r="E49" s="49">
        <f>E48</f>
        <v>800659050</v>
      </c>
      <c r="F49" s="33">
        <f t="shared" si="0"/>
        <v>177.81276437205074</v>
      </c>
    </row>
    <row r="50" spans="1:6" ht="15.75" x14ac:dyDescent="0.25">
      <c r="A50" s="66">
        <v>10</v>
      </c>
      <c r="B50" s="68" t="s">
        <v>161</v>
      </c>
      <c r="C50" s="36">
        <v>2020</v>
      </c>
      <c r="D50" s="32">
        <v>478171000000</v>
      </c>
      <c r="E50" s="49">
        <v>10599842400</v>
      </c>
      <c r="F50" s="33">
        <f t="shared" si="0"/>
        <v>45.111142407173901</v>
      </c>
    </row>
    <row r="51" spans="1:6" ht="15.75" x14ac:dyDescent="0.25">
      <c r="A51" s="77"/>
      <c r="B51" s="77"/>
      <c r="C51" s="36">
        <v>2021</v>
      </c>
      <c r="D51" s="32">
        <v>739649000000</v>
      </c>
      <c r="E51" s="49">
        <f>E50</f>
        <v>10599842400</v>
      </c>
      <c r="F51" s="33">
        <f t="shared" si="0"/>
        <v>69.779245019718402</v>
      </c>
    </row>
    <row r="52" spans="1:6" ht="15.75" x14ac:dyDescent="0.25">
      <c r="A52" s="77"/>
      <c r="B52" s="77"/>
      <c r="C52" s="36">
        <v>2022</v>
      </c>
      <c r="D52" s="32">
        <v>1206587000000</v>
      </c>
      <c r="E52" s="49">
        <f>E51</f>
        <v>10599842400</v>
      </c>
      <c r="F52" s="33">
        <f t="shared" si="0"/>
        <v>113.83065468973388</v>
      </c>
    </row>
    <row r="53" spans="1:6" ht="15.75" x14ac:dyDescent="0.25">
      <c r="A53" s="77"/>
      <c r="B53" s="77"/>
      <c r="C53" s="36">
        <v>2023</v>
      </c>
      <c r="D53" s="32">
        <v>841665000000</v>
      </c>
      <c r="E53" s="49">
        <f>E52</f>
        <v>10599842400</v>
      </c>
      <c r="F53" s="33">
        <f t="shared" si="0"/>
        <v>79.403539056392006</v>
      </c>
    </row>
    <row r="54" spans="1:6" ht="15.75" x14ac:dyDescent="0.25">
      <c r="A54" s="77"/>
      <c r="B54" s="77"/>
      <c r="C54" s="34">
        <v>2024</v>
      </c>
      <c r="D54" s="35">
        <v>1141375000000</v>
      </c>
      <c r="E54" s="49">
        <f>E53</f>
        <v>10599842400</v>
      </c>
      <c r="F54" s="33">
        <f t="shared" si="0"/>
        <v>107.67848774808199</v>
      </c>
    </row>
    <row r="55" spans="1:6" ht="15.75" x14ac:dyDescent="0.25">
      <c r="A55" s="66">
        <v>11</v>
      </c>
      <c r="B55" s="68" t="s">
        <v>162</v>
      </c>
      <c r="C55" s="36">
        <v>2020</v>
      </c>
      <c r="D55" s="32">
        <v>679870547997</v>
      </c>
      <c r="E55" s="49">
        <v>2708640000</v>
      </c>
      <c r="F55" s="33">
        <f t="shared" si="0"/>
        <v>251.00070441143896</v>
      </c>
    </row>
    <row r="56" spans="1:6" ht="15.75" x14ac:dyDescent="0.25">
      <c r="A56" s="77"/>
      <c r="B56" s="77"/>
      <c r="C56" s="36">
        <v>2021</v>
      </c>
      <c r="D56" s="32">
        <v>846240999497</v>
      </c>
      <c r="E56" s="49">
        <f>E55</f>
        <v>2708640000</v>
      </c>
      <c r="F56" s="33">
        <f t="shared" si="0"/>
        <v>312.42283932047081</v>
      </c>
    </row>
    <row r="57" spans="1:6" ht="15.75" x14ac:dyDescent="0.25">
      <c r="A57" s="77"/>
      <c r="B57" s="77"/>
      <c r="C57" s="36">
        <v>2022</v>
      </c>
      <c r="D57" s="32">
        <v>842590883679</v>
      </c>
      <c r="E57" s="49">
        <f>E56</f>
        <v>2708640000</v>
      </c>
      <c r="F57" s="33">
        <f t="shared" si="0"/>
        <v>311.07525683701044</v>
      </c>
    </row>
    <row r="58" spans="1:6" ht="15.75" x14ac:dyDescent="0.25">
      <c r="A58" s="77"/>
      <c r="B58" s="77"/>
      <c r="C58" s="36">
        <v>2023</v>
      </c>
      <c r="D58" s="32">
        <v>688374430004</v>
      </c>
      <c r="E58" s="49">
        <f>E57</f>
        <v>2708640000</v>
      </c>
      <c r="F58" s="33">
        <f t="shared" si="0"/>
        <v>254.14024381386969</v>
      </c>
    </row>
    <row r="59" spans="1:6" ht="15.75" x14ac:dyDescent="0.25">
      <c r="A59" s="77"/>
      <c r="B59" s="77"/>
      <c r="C59" s="34">
        <v>2024</v>
      </c>
      <c r="D59" s="32">
        <v>738328424610</v>
      </c>
      <c r="E59" s="49">
        <f>E58</f>
        <v>2708640000</v>
      </c>
      <c r="F59" s="33">
        <f t="shared" si="0"/>
        <v>272.58270741405283</v>
      </c>
    </row>
    <row r="60" spans="1:6" ht="15.75" x14ac:dyDescent="0.25">
      <c r="A60" s="66">
        <v>12</v>
      </c>
      <c r="B60" s="68" t="s">
        <v>164</v>
      </c>
      <c r="C60" s="36">
        <v>2020</v>
      </c>
      <c r="D60" s="32">
        <v>7647729000000</v>
      </c>
      <c r="E60" s="49">
        <v>1924088000</v>
      </c>
      <c r="F60" s="33">
        <f t="shared" si="0"/>
        <v>3974.7293263093998</v>
      </c>
    </row>
    <row r="61" spans="1:6" ht="15.75" x14ac:dyDescent="0.25">
      <c r="A61" s="77"/>
      <c r="B61" s="77"/>
      <c r="C61" s="36">
        <v>2021</v>
      </c>
      <c r="D61" s="32">
        <v>5605321000000</v>
      </c>
      <c r="E61" s="49">
        <f>E60</f>
        <v>1924088000</v>
      </c>
      <c r="F61" s="33">
        <f t="shared" si="0"/>
        <v>2913.235257431053</v>
      </c>
    </row>
    <row r="62" spans="1:6" ht="15.75" x14ac:dyDescent="0.25">
      <c r="A62" s="77"/>
      <c r="B62" s="77"/>
      <c r="C62" s="36">
        <v>2022</v>
      </c>
      <c r="D62" s="32">
        <v>2779742000000</v>
      </c>
      <c r="E62" s="49">
        <f>E61</f>
        <v>1924088000</v>
      </c>
      <c r="F62" s="33">
        <f t="shared" si="0"/>
        <v>1444.7062712308377</v>
      </c>
    </row>
    <row r="63" spans="1:6" ht="15.75" x14ac:dyDescent="0.25">
      <c r="A63" s="77"/>
      <c r="B63" s="77"/>
      <c r="C63" s="36">
        <v>2023</v>
      </c>
      <c r="D63" s="32">
        <v>5324516000000</v>
      </c>
      <c r="E63" s="49">
        <f>E62</f>
        <v>1924088000</v>
      </c>
      <c r="F63" s="33">
        <f t="shared" si="0"/>
        <v>2767.2933878284152</v>
      </c>
    </row>
    <row r="64" spans="1:6" ht="15.75" x14ac:dyDescent="0.25">
      <c r="A64" s="77"/>
      <c r="B64" s="77"/>
      <c r="C64" s="34">
        <v>2024</v>
      </c>
      <c r="D64" s="35">
        <v>980804000000</v>
      </c>
      <c r="E64" s="49">
        <f>E63</f>
        <v>1924088000</v>
      </c>
      <c r="F64" s="33">
        <f t="shared" si="0"/>
        <v>509.75007380119825</v>
      </c>
    </row>
    <row r="65" spans="1:6" ht="15.75" x14ac:dyDescent="0.25">
      <c r="A65" s="66">
        <v>13</v>
      </c>
      <c r="B65" s="68" t="s">
        <v>165</v>
      </c>
      <c r="C65" s="36">
        <v>2020</v>
      </c>
      <c r="D65" s="32">
        <v>8581378000000</v>
      </c>
      <c r="E65" s="49">
        <v>116318076900</v>
      </c>
      <c r="F65" s="33">
        <f t="shared" si="0"/>
        <v>73.775102105389095</v>
      </c>
    </row>
    <row r="66" spans="1:6" ht="15.75" x14ac:dyDescent="0.25">
      <c r="A66" s="77"/>
      <c r="B66" s="77"/>
      <c r="C66" s="36">
        <v>2021</v>
      </c>
      <c r="D66" s="32">
        <v>7137097000000</v>
      </c>
      <c r="E66" s="49">
        <f>E65</f>
        <v>116318076900</v>
      </c>
      <c r="F66" s="33">
        <f t="shared" si="0"/>
        <v>61.358450811870327</v>
      </c>
    </row>
    <row r="67" spans="1:6" ht="15.75" x14ac:dyDescent="0.25">
      <c r="A67" s="77"/>
      <c r="B67" s="77"/>
      <c r="C67" s="36">
        <v>2022</v>
      </c>
      <c r="D67" s="32">
        <v>6323744000000</v>
      </c>
      <c r="E67" s="49">
        <f>E66</f>
        <v>116318076900</v>
      </c>
      <c r="F67" s="33">
        <f t="shared" si="0"/>
        <v>54.36596072196582</v>
      </c>
    </row>
    <row r="68" spans="1:6" ht="15.75" x14ac:dyDescent="0.25">
      <c r="A68" s="77"/>
      <c r="B68" s="77"/>
      <c r="C68" s="36">
        <v>2023</v>
      </c>
      <c r="D68" s="32">
        <v>8096811000000</v>
      </c>
      <c r="E68" s="49">
        <f>E67</f>
        <v>116318076900</v>
      </c>
      <c r="F68" s="33">
        <f t="shared" si="0"/>
        <v>69.609223396643003</v>
      </c>
    </row>
    <row r="69" spans="1:6" ht="15.75" x14ac:dyDescent="0.25">
      <c r="A69" s="77"/>
      <c r="B69" s="77"/>
      <c r="C69" s="34">
        <v>2024</v>
      </c>
      <c r="D69" s="32">
        <v>6645774000000</v>
      </c>
      <c r="E69" s="49">
        <f>E68</f>
        <v>116318076900</v>
      </c>
      <c r="F69" s="33">
        <f t="shared" si="0"/>
        <v>57.134489987428601</v>
      </c>
    </row>
    <row r="70" spans="1:6" ht="15.75" x14ac:dyDescent="0.25">
      <c r="A70" s="66">
        <v>14</v>
      </c>
      <c r="B70" s="68" t="s">
        <v>166</v>
      </c>
      <c r="C70" s="36">
        <v>2020</v>
      </c>
      <c r="D70" s="32">
        <v>7418574000000</v>
      </c>
      <c r="E70" s="49">
        <v>11661908000</v>
      </c>
      <c r="F70" s="33">
        <f t="shared" ref="F70:F133" si="1">D70/E70</f>
        <v>636.13724272220293</v>
      </c>
    </row>
    <row r="71" spans="1:6" ht="15.75" x14ac:dyDescent="0.25">
      <c r="A71" s="77"/>
      <c r="B71" s="77"/>
      <c r="C71" s="36">
        <v>2021</v>
      </c>
      <c r="D71" s="32">
        <v>7911943000000</v>
      </c>
      <c r="E71" s="49">
        <v>11661908000</v>
      </c>
      <c r="F71" s="33">
        <f t="shared" si="1"/>
        <v>678.44327017500052</v>
      </c>
    </row>
    <row r="72" spans="1:6" ht="15.75" x14ac:dyDescent="0.25">
      <c r="A72" s="77"/>
      <c r="B72" s="77"/>
      <c r="C72" s="36">
        <v>2022</v>
      </c>
      <c r="D72" s="32">
        <v>5722194000000</v>
      </c>
      <c r="E72" s="49">
        <v>11661908000</v>
      </c>
      <c r="F72" s="33">
        <f t="shared" si="1"/>
        <v>490.67391030695836</v>
      </c>
    </row>
    <row r="73" spans="1:6" ht="15.75" x14ac:dyDescent="0.25">
      <c r="A73" s="77"/>
      <c r="B73" s="77"/>
      <c r="C73" s="36">
        <v>2023</v>
      </c>
      <c r="D73" s="32">
        <v>8465123000000</v>
      </c>
      <c r="E73" s="49">
        <v>11661908000</v>
      </c>
      <c r="F73" s="33">
        <f t="shared" si="1"/>
        <v>725.87804671413971</v>
      </c>
    </row>
    <row r="74" spans="1:6" ht="15.75" x14ac:dyDescent="0.25">
      <c r="A74" s="77"/>
      <c r="B74" s="77"/>
      <c r="C74" s="34">
        <v>2024</v>
      </c>
      <c r="D74" s="32">
        <v>8813377000000</v>
      </c>
      <c r="E74" s="49">
        <v>11661908000</v>
      </c>
      <c r="F74" s="33">
        <f t="shared" si="1"/>
        <v>755.74057006795113</v>
      </c>
    </row>
    <row r="75" spans="1:6" ht="15.75" x14ac:dyDescent="0.25">
      <c r="A75" s="66">
        <v>15</v>
      </c>
      <c r="B75" s="68" t="s">
        <v>167</v>
      </c>
      <c r="C75" s="36">
        <v>2020</v>
      </c>
      <c r="D75" s="32">
        <v>8752066000000</v>
      </c>
      <c r="E75" s="49">
        <v>8780426500</v>
      </c>
      <c r="F75" s="33">
        <f t="shared" si="1"/>
        <v>996.77003161520679</v>
      </c>
    </row>
    <row r="76" spans="1:6" ht="15.75" x14ac:dyDescent="0.25">
      <c r="A76" s="77"/>
      <c r="B76" s="77"/>
      <c r="C76" s="36">
        <v>2021</v>
      </c>
      <c r="D76" s="32">
        <v>11229695000000</v>
      </c>
      <c r="E76" s="49">
        <v>8780426500</v>
      </c>
      <c r="F76" s="33">
        <f t="shared" si="1"/>
        <v>1278.9464156439326</v>
      </c>
    </row>
    <row r="77" spans="1:6" ht="15.75" x14ac:dyDescent="0.25">
      <c r="A77" s="77"/>
      <c r="B77" s="77"/>
      <c r="C77" s="36">
        <v>2022</v>
      </c>
      <c r="D77" s="32">
        <v>9192569000000</v>
      </c>
      <c r="E77" s="49">
        <v>8780426500</v>
      </c>
      <c r="F77" s="33">
        <f t="shared" si="1"/>
        <v>1046.938779112837</v>
      </c>
    </row>
    <row r="78" spans="1:6" ht="15.75" x14ac:dyDescent="0.25">
      <c r="A78" s="77"/>
      <c r="B78" s="77"/>
      <c r="C78" s="36">
        <v>2023</v>
      </c>
      <c r="D78" s="32">
        <v>11493733000000</v>
      </c>
      <c r="E78" s="49">
        <v>8780426500</v>
      </c>
      <c r="F78" s="33">
        <f t="shared" si="1"/>
        <v>1309.0176200438555</v>
      </c>
    </row>
    <row r="79" spans="1:6" ht="15.75" x14ac:dyDescent="0.25">
      <c r="A79" s="77"/>
      <c r="B79" s="77"/>
      <c r="C79" s="34">
        <v>2024</v>
      </c>
      <c r="D79" s="32">
        <v>13077496000000</v>
      </c>
      <c r="E79" s="49">
        <v>8780426500</v>
      </c>
      <c r="F79" s="33">
        <f t="shared" si="1"/>
        <v>1489.391887740305</v>
      </c>
    </row>
    <row r="80" spans="1:6" ht="15.75" x14ac:dyDescent="0.25">
      <c r="A80" s="66">
        <v>16</v>
      </c>
      <c r="B80" s="68" t="s">
        <v>168</v>
      </c>
      <c r="C80" s="36">
        <v>2020</v>
      </c>
      <c r="D80" s="32">
        <v>1002376000000</v>
      </c>
      <c r="E80" s="49">
        <v>11726575201</v>
      </c>
      <c r="F80" s="33">
        <f t="shared" si="1"/>
        <v>85.479006685133527</v>
      </c>
    </row>
    <row r="81" spans="1:6" ht="15.75" x14ac:dyDescent="0.25">
      <c r="A81" s="77"/>
      <c r="B81" s="77"/>
      <c r="C81" s="36">
        <v>2021</v>
      </c>
      <c r="D81" s="32">
        <v>2130896000000</v>
      </c>
      <c r="E81" s="49">
        <v>11726575201</v>
      </c>
      <c r="F81" s="33">
        <f t="shared" si="1"/>
        <v>181.71511830822394</v>
      </c>
    </row>
    <row r="82" spans="1:6" ht="15.75" x14ac:dyDescent="0.25">
      <c r="A82" s="77"/>
      <c r="B82" s="77"/>
      <c r="C82" s="36">
        <v>2022</v>
      </c>
      <c r="D82" s="32">
        <v>1490931000000</v>
      </c>
      <c r="E82" s="49">
        <v>11726575201</v>
      </c>
      <c r="F82" s="33">
        <f t="shared" si="1"/>
        <v>127.14121339305092</v>
      </c>
    </row>
    <row r="83" spans="1:6" ht="15.75" x14ac:dyDescent="0.25">
      <c r="A83" s="77"/>
      <c r="B83" s="77"/>
      <c r="C83" s="36">
        <v>2023</v>
      </c>
      <c r="D83" s="32">
        <v>945922000000</v>
      </c>
      <c r="E83" s="49">
        <v>11726575201</v>
      </c>
      <c r="F83" s="33">
        <f t="shared" si="1"/>
        <v>80.664813365059487</v>
      </c>
    </row>
    <row r="84" spans="1:6" ht="15.75" x14ac:dyDescent="0.25">
      <c r="A84" s="77"/>
      <c r="B84" s="77"/>
      <c r="C84" s="34">
        <v>2024</v>
      </c>
      <c r="D84" s="32">
        <v>3212338000000</v>
      </c>
      <c r="E84" s="49">
        <v>11726575201</v>
      </c>
      <c r="F84" s="33">
        <f t="shared" si="1"/>
        <v>273.9365880437166</v>
      </c>
    </row>
    <row r="85" spans="1:6" ht="15.75" x14ac:dyDescent="0.25">
      <c r="A85" s="66">
        <v>17</v>
      </c>
      <c r="B85" s="68" t="s">
        <v>200</v>
      </c>
      <c r="C85" s="36">
        <v>2020</v>
      </c>
      <c r="D85" s="32">
        <v>716152000000</v>
      </c>
      <c r="E85" s="49">
        <v>6819963965</v>
      </c>
      <c r="F85" s="33">
        <f t="shared" si="1"/>
        <v>105.00817946770485</v>
      </c>
    </row>
    <row r="86" spans="1:6" ht="15.75" x14ac:dyDescent="0.25">
      <c r="A86" s="77"/>
      <c r="B86" s="77"/>
      <c r="C86" s="36">
        <v>2021</v>
      </c>
      <c r="D86" s="32">
        <v>991630000000</v>
      </c>
      <c r="E86" s="49">
        <v>6819963965</v>
      </c>
      <c r="F86" s="33">
        <f t="shared" si="1"/>
        <v>145.40106151425977</v>
      </c>
    </row>
    <row r="87" spans="1:6" ht="15.75" x14ac:dyDescent="0.25">
      <c r="A87" s="77"/>
      <c r="B87" s="77"/>
      <c r="C87" s="36">
        <v>2022</v>
      </c>
      <c r="D87" s="32">
        <v>1035285000000</v>
      </c>
      <c r="E87" s="49">
        <v>6819963965</v>
      </c>
      <c r="F87" s="33">
        <f t="shared" si="1"/>
        <v>151.8021217286593</v>
      </c>
    </row>
    <row r="88" spans="1:6" ht="15.75" x14ac:dyDescent="0.25">
      <c r="A88" s="77"/>
      <c r="B88" s="77"/>
      <c r="C88" s="36">
        <v>2023</v>
      </c>
      <c r="D88" s="32">
        <v>760673000000</v>
      </c>
      <c r="E88" s="49">
        <v>6819963965</v>
      </c>
      <c r="F88" s="33">
        <f t="shared" si="1"/>
        <v>111.53621982517322</v>
      </c>
    </row>
    <row r="89" spans="1:6" ht="15.75" x14ac:dyDescent="0.25">
      <c r="A89" s="77"/>
      <c r="B89" s="77"/>
      <c r="C89" s="34">
        <v>2024</v>
      </c>
      <c r="D89" s="32">
        <v>1475654000000</v>
      </c>
      <c r="E89" s="49">
        <v>6819963965</v>
      </c>
      <c r="F89" s="33">
        <f t="shared" si="1"/>
        <v>216.37269750588777</v>
      </c>
    </row>
    <row r="90" spans="1:6" ht="15.75" x14ac:dyDescent="0.25">
      <c r="A90" s="66">
        <v>18</v>
      </c>
      <c r="B90" s="68" t="s">
        <v>170</v>
      </c>
      <c r="C90" s="36">
        <v>2020</v>
      </c>
      <c r="D90" s="32">
        <v>200273000000</v>
      </c>
      <c r="E90" s="49">
        <v>2882353000</v>
      </c>
      <c r="F90" s="33">
        <f t="shared" si="1"/>
        <v>69.482467969745557</v>
      </c>
    </row>
    <row r="91" spans="1:6" ht="15.75" x14ac:dyDescent="0.25">
      <c r="A91" s="77"/>
      <c r="B91" s="77"/>
      <c r="C91" s="36">
        <v>2021</v>
      </c>
      <c r="D91" s="32">
        <v>269694000000</v>
      </c>
      <c r="E91" s="49">
        <v>2882353000</v>
      </c>
      <c r="F91" s="33">
        <f t="shared" si="1"/>
        <v>93.567304212912163</v>
      </c>
    </row>
    <row r="92" spans="1:6" ht="15.75" x14ac:dyDescent="0.25">
      <c r="A92" s="77"/>
      <c r="B92" s="77"/>
      <c r="C92" s="36">
        <v>2022</v>
      </c>
      <c r="D92" s="32">
        <v>399121000000</v>
      </c>
      <c r="E92" s="49">
        <v>2882353000</v>
      </c>
      <c r="F92" s="33">
        <f>D92/E92</f>
        <v>138.4705481944786</v>
      </c>
    </row>
    <row r="93" spans="1:6" ht="15.75" x14ac:dyDescent="0.25">
      <c r="A93" s="77"/>
      <c r="B93" s="77"/>
      <c r="C93" s="36">
        <v>2023</v>
      </c>
      <c r="D93" s="32">
        <v>516318000000</v>
      </c>
      <c r="E93" s="49">
        <v>33435294800</v>
      </c>
      <c r="F93" s="33">
        <f t="shared" si="1"/>
        <v>15.442304399840374</v>
      </c>
    </row>
    <row r="94" spans="1:6" ht="15.75" x14ac:dyDescent="0.25">
      <c r="A94" s="77"/>
      <c r="B94" s="77"/>
      <c r="C94" s="34">
        <v>2024</v>
      </c>
      <c r="D94" s="32">
        <v>475577000000</v>
      </c>
      <c r="E94" s="49">
        <f>E93</f>
        <v>33435294800</v>
      </c>
      <c r="F94" s="33">
        <f t="shared" si="1"/>
        <v>14.223801609788708</v>
      </c>
    </row>
    <row r="95" spans="1:6" ht="15.75" x14ac:dyDescent="0.25">
      <c r="A95" s="66">
        <v>19</v>
      </c>
      <c r="B95" s="68" t="s">
        <v>171</v>
      </c>
      <c r="C95" s="36">
        <v>2020</v>
      </c>
      <c r="D95" s="32">
        <v>285617000000</v>
      </c>
      <c r="E95" s="49">
        <v>2107000000</v>
      </c>
      <c r="F95" s="33">
        <f t="shared" si="1"/>
        <v>135.55624110109159</v>
      </c>
    </row>
    <row r="96" spans="1:6" ht="15.75" x14ac:dyDescent="0.25">
      <c r="A96" s="77"/>
      <c r="B96" s="77"/>
      <c r="C96" s="36">
        <v>2021</v>
      </c>
      <c r="D96" s="32">
        <v>665850000000</v>
      </c>
      <c r="E96" s="49">
        <v>2107000000</v>
      </c>
      <c r="F96" s="33">
        <f t="shared" si="1"/>
        <v>316.01803512102515</v>
      </c>
    </row>
    <row r="97" spans="1:8" ht="15.75" x14ac:dyDescent="0.25">
      <c r="A97" s="77"/>
      <c r="B97" s="77"/>
      <c r="C97" s="36">
        <v>2022</v>
      </c>
      <c r="D97" s="32">
        <v>924906000000</v>
      </c>
      <c r="E97" s="49">
        <v>2107000000</v>
      </c>
      <c r="F97" s="33">
        <f t="shared" si="1"/>
        <v>438.96820123398197</v>
      </c>
    </row>
    <row r="98" spans="1:8" ht="15.75" x14ac:dyDescent="0.25">
      <c r="A98" s="77"/>
      <c r="B98" s="77"/>
      <c r="C98" s="36">
        <v>2023</v>
      </c>
      <c r="D98" s="32">
        <v>1066467000000</v>
      </c>
      <c r="E98" s="49">
        <v>2107000000</v>
      </c>
      <c r="F98" s="33">
        <f t="shared" si="1"/>
        <v>506.15424774560989</v>
      </c>
    </row>
    <row r="99" spans="1:8" ht="15.75" x14ac:dyDescent="0.25">
      <c r="A99" s="77"/>
      <c r="B99" s="77"/>
      <c r="C99" s="34">
        <v>2024</v>
      </c>
      <c r="D99" s="32">
        <v>1142246000000</v>
      </c>
      <c r="E99" s="49">
        <v>2107000000</v>
      </c>
      <c r="F99" s="33">
        <f t="shared" si="1"/>
        <v>542.11960132890363</v>
      </c>
    </row>
    <row r="100" spans="1:8" ht="15.75" x14ac:dyDescent="0.25">
      <c r="A100" s="66">
        <v>20</v>
      </c>
      <c r="B100" s="68" t="s">
        <v>172</v>
      </c>
      <c r="C100" s="36">
        <v>2020</v>
      </c>
      <c r="D100" s="32">
        <v>2098168514645</v>
      </c>
      <c r="E100" s="49">
        <v>22358699725</v>
      </c>
      <c r="F100" s="33">
        <f t="shared" si="1"/>
        <v>93.841258232873372</v>
      </c>
    </row>
    <row r="101" spans="1:8" ht="15.75" x14ac:dyDescent="0.25">
      <c r="A101" s="77"/>
      <c r="B101" s="77"/>
      <c r="C101" s="36">
        <v>2021</v>
      </c>
      <c r="D101" s="32">
        <v>1211052647953</v>
      </c>
      <c r="E101" s="49">
        <v>22358699725</v>
      </c>
      <c r="F101" s="33">
        <f t="shared" si="1"/>
        <v>54.164717217382822</v>
      </c>
    </row>
    <row r="102" spans="1:8" ht="15.75" x14ac:dyDescent="0.25">
      <c r="A102" s="77"/>
      <c r="B102" s="77"/>
      <c r="C102" s="36">
        <v>2022</v>
      </c>
      <c r="D102" s="32">
        <v>1970064538149</v>
      </c>
      <c r="E102" s="49">
        <v>22358699725</v>
      </c>
      <c r="F102" s="33">
        <f t="shared" si="1"/>
        <v>88.111766890728703</v>
      </c>
    </row>
    <row r="103" spans="1:8" ht="15.75" x14ac:dyDescent="0.25">
      <c r="A103" s="77"/>
      <c r="B103" s="77"/>
      <c r="C103" s="36">
        <v>2023</v>
      </c>
      <c r="D103" s="32">
        <v>3244872091221</v>
      </c>
      <c r="E103" s="49">
        <v>22358699725</v>
      </c>
      <c r="F103" s="33">
        <f t="shared" si="1"/>
        <v>145.12794264117252</v>
      </c>
    </row>
    <row r="104" spans="1:8" ht="15.75" x14ac:dyDescent="0.25">
      <c r="A104" s="77"/>
      <c r="B104" s="77"/>
      <c r="C104" s="34">
        <v>2024</v>
      </c>
      <c r="D104" s="32">
        <v>3067667675407</v>
      </c>
      <c r="E104" s="49">
        <v>22358699725</v>
      </c>
      <c r="F104" s="33">
        <f t="shared" si="1"/>
        <v>137.20241843835578</v>
      </c>
    </row>
    <row r="105" spans="1:8" ht="15.75" x14ac:dyDescent="0.25">
      <c r="A105" s="66">
        <v>21</v>
      </c>
      <c r="B105" s="69" t="s">
        <v>173</v>
      </c>
      <c r="C105" s="36">
        <v>2020</v>
      </c>
      <c r="D105" s="32">
        <v>168610282478</v>
      </c>
      <c r="E105" s="52">
        <v>6106828188</v>
      </c>
      <c r="F105" s="33">
        <f t="shared" si="1"/>
        <v>27.610123829801122</v>
      </c>
      <c r="G105" s="14"/>
      <c r="H105" s="30"/>
    </row>
    <row r="106" spans="1:8" ht="15.75" x14ac:dyDescent="0.25">
      <c r="A106" s="77"/>
      <c r="B106" s="78"/>
      <c r="C106" s="36">
        <v>2021</v>
      </c>
      <c r="D106" s="32">
        <v>283602993676</v>
      </c>
      <c r="E106" s="51">
        <v>5913076388</v>
      </c>
      <c r="F106" s="33">
        <f t="shared" si="1"/>
        <v>47.962004051147396</v>
      </c>
    </row>
    <row r="107" spans="1:8" ht="15.75" x14ac:dyDescent="0.25">
      <c r="A107" s="77"/>
      <c r="B107" s="78"/>
      <c r="C107" s="36">
        <v>2022</v>
      </c>
      <c r="D107" s="32">
        <v>432247722254</v>
      </c>
      <c r="E107" s="51">
        <v>5703234288</v>
      </c>
      <c r="F107" s="33">
        <f t="shared" si="1"/>
        <v>75.789929086988266</v>
      </c>
    </row>
    <row r="108" spans="1:8" ht="15.75" x14ac:dyDescent="0.25">
      <c r="A108" s="77"/>
      <c r="B108" s="78"/>
      <c r="C108" s="36">
        <v>2023</v>
      </c>
      <c r="D108" s="32">
        <v>333300420963</v>
      </c>
      <c r="E108" s="51">
        <v>5703234288</v>
      </c>
      <c r="F108" s="33">
        <f t="shared" si="1"/>
        <v>58.44059776121896</v>
      </c>
    </row>
    <row r="109" spans="1:8" ht="15.75" x14ac:dyDescent="0.25">
      <c r="A109" s="77"/>
      <c r="B109" s="78"/>
      <c r="C109" s="34">
        <v>2024</v>
      </c>
      <c r="D109" s="32">
        <v>362195698480</v>
      </c>
      <c r="E109" s="51">
        <v>5692579488</v>
      </c>
      <c r="F109" s="33">
        <f t="shared" si="1"/>
        <v>63.625936052981118</v>
      </c>
      <c r="G109" s="24"/>
    </row>
    <row r="110" spans="1:8" ht="15.75" x14ac:dyDescent="0.25">
      <c r="A110" s="66">
        <v>22</v>
      </c>
      <c r="B110" s="68" t="s">
        <v>174</v>
      </c>
      <c r="C110" s="36">
        <v>2020</v>
      </c>
      <c r="D110" s="32">
        <v>2804331066</v>
      </c>
      <c r="E110" s="49">
        <v>1274000000</v>
      </c>
      <c r="F110" s="33">
        <f t="shared" si="1"/>
        <v>2.2012017786499216</v>
      </c>
    </row>
    <row r="111" spans="1:8" ht="15.75" x14ac:dyDescent="0.25">
      <c r="A111" s="77"/>
      <c r="B111" s="77"/>
      <c r="C111" s="36">
        <v>2021</v>
      </c>
      <c r="D111" s="32">
        <v>9571235584</v>
      </c>
      <c r="E111" s="49">
        <v>1274000000</v>
      </c>
      <c r="F111" s="33">
        <f t="shared" si="1"/>
        <v>7.5127437864992155</v>
      </c>
    </row>
    <row r="112" spans="1:8" ht="15.75" x14ac:dyDescent="0.25">
      <c r="A112" s="77"/>
      <c r="B112" s="77"/>
      <c r="C112" s="36">
        <v>2022</v>
      </c>
      <c r="D112" s="32">
        <v>24464054875</v>
      </c>
      <c r="E112" s="49">
        <v>1274000000</v>
      </c>
      <c r="F112" s="33">
        <f t="shared" si="1"/>
        <v>19.202554846938774</v>
      </c>
    </row>
    <row r="113" spans="1:9" ht="15.75" x14ac:dyDescent="0.25">
      <c r="A113" s="77"/>
      <c r="B113" s="77"/>
      <c r="C113" s="36">
        <v>2023</v>
      </c>
      <c r="D113" s="32">
        <v>33081201848</v>
      </c>
      <c r="E113" s="49">
        <v>1274000000</v>
      </c>
      <c r="F113" s="33">
        <f t="shared" si="1"/>
        <v>25.966406474097329</v>
      </c>
    </row>
    <row r="114" spans="1:9" ht="15.75" x14ac:dyDescent="0.25">
      <c r="A114" s="77"/>
      <c r="B114" s="77"/>
      <c r="C114" s="34">
        <v>2024</v>
      </c>
      <c r="D114" s="32">
        <v>16914132122</v>
      </c>
      <c r="E114" s="49">
        <v>1274000000</v>
      </c>
      <c r="F114" s="33">
        <f t="shared" si="1"/>
        <v>13.276398839874412</v>
      </c>
    </row>
    <row r="115" spans="1:9" ht="15.75" x14ac:dyDescent="0.25">
      <c r="A115" s="66">
        <v>23</v>
      </c>
      <c r="B115" s="68" t="s">
        <v>175</v>
      </c>
      <c r="C115" s="36">
        <v>2020</v>
      </c>
      <c r="D115" s="32">
        <v>42520246722</v>
      </c>
      <c r="E115" s="49">
        <v>690740500</v>
      </c>
      <c r="F115" s="33">
        <f t="shared" si="1"/>
        <v>61.557483196656342</v>
      </c>
    </row>
    <row r="116" spans="1:9" ht="15.75" x14ac:dyDescent="0.25">
      <c r="A116" s="77"/>
      <c r="B116" s="77"/>
      <c r="C116" s="36">
        <v>2021</v>
      </c>
      <c r="D116" s="32">
        <v>84524160228</v>
      </c>
      <c r="E116" s="49">
        <v>690740500</v>
      </c>
      <c r="F116" s="33">
        <f t="shared" si="1"/>
        <v>122.36745960024061</v>
      </c>
    </row>
    <row r="117" spans="1:9" ht="15.75" x14ac:dyDescent="0.25">
      <c r="A117" s="77"/>
      <c r="B117" s="77"/>
      <c r="C117" s="36">
        <v>2022</v>
      </c>
      <c r="D117" s="32">
        <v>74865302076</v>
      </c>
      <c r="E117" s="49">
        <v>690740500</v>
      </c>
      <c r="F117" s="33">
        <f t="shared" si="1"/>
        <v>108.38412120905029</v>
      </c>
    </row>
    <row r="118" spans="1:9" ht="15.75" x14ac:dyDescent="0.25">
      <c r="A118" s="77"/>
      <c r="B118" s="77"/>
      <c r="C118" s="36">
        <v>2023</v>
      </c>
      <c r="D118" s="32">
        <v>78089597225</v>
      </c>
      <c r="E118" s="51">
        <v>6907405000</v>
      </c>
      <c r="F118" s="33">
        <f t="shared" si="1"/>
        <v>11.305200321249442</v>
      </c>
      <c r="G118" s="14"/>
      <c r="H118" s="14"/>
      <c r="I118" s="14"/>
    </row>
    <row r="119" spans="1:9" ht="15.75" x14ac:dyDescent="0.25">
      <c r="A119" s="77"/>
      <c r="B119" s="77"/>
      <c r="C119" s="34">
        <v>2024</v>
      </c>
      <c r="D119" s="32">
        <v>119048716890</v>
      </c>
      <c r="E119" s="51">
        <v>6907405000</v>
      </c>
      <c r="F119" s="33">
        <f t="shared" si="1"/>
        <v>17.234940891695217</v>
      </c>
    </row>
    <row r="120" spans="1:9" ht="15.75" x14ac:dyDescent="0.25">
      <c r="A120" s="66">
        <v>24</v>
      </c>
      <c r="B120" s="68" t="s">
        <v>176</v>
      </c>
      <c r="C120" s="36">
        <v>2020</v>
      </c>
      <c r="D120" s="32">
        <v>1539798000000</v>
      </c>
      <c r="E120" s="49">
        <v>2872193366</v>
      </c>
      <c r="F120" s="33">
        <f t="shared" si="1"/>
        <v>536.1052700098744</v>
      </c>
    </row>
    <row r="121" spans="1:9" ht="15.75" x14ac:dyDescent="0.25">
      <c r="A121" s="77"/>
      <c r="B121" s="77"/>
      <c r="C121" s="36">
        <v>2021</v>
      </c>
      <c r="D121" s="32">
        <v>2829418000000</v>
      </c>
      <c r="E121" s="49">
        <v>2872193366</v>
      </c>
      <c r="F121" s="33">
        <f t="shared" si="1"/>
        <v>985.10707304516484</v>
      </c>
    </row>
    <row r="122" spans="1:9" ht="15.75" x14ac:dyDescent="0.25">
      <c r="A122" s="77"/>
      <c r="B122" s="77"/>
      <c r="C122" s="36">
        <v>2022</v>
      </c>
      <c r="D122" s="32">
        <v>5504956000000</v>
      </c>
      <c r="E122" s="49">
        <v>2872193366</v>
      </c>
      <c r="F122" s="33">
        <f t="shared" si="1"/>
        <v>1916.63836605352</v>
      </c>
    </row>
    <row r="123" spans="1:9" ht="15.75" x14ac:dyDescent="0.25">
      <c r="A123" s="77"/>
      <c r="B123" s="77"/>
      <c r="C123" s="36">
        <v>2023</v>
      </c>
      <c r="D123" s="32">
        <v>917870000000</v>
      </c>
      <c r="E123" s="49">
        <v>2872193366</v>
      </c>
      <c r="F123" s="33">
        <f t="shared" si="1"/>
        <v>319.5711023030056</v>
      </c>
    </row>
    <row r="124" spans="1:9" ht="15.75" x14ac:dyDescent="0.25">
      <c r="A124" s="77"/>
      <c r="B124" s="77"/>
      <c r="C124" s="34">
        <v>2024</v>
      </c>
      <c r="D124" s="32">
        <v>1278269000000</v>
      </c>
      <c r="E124" s="49">
        <v>2872193366</v>
      </c>
      <c r="F124" s="33">
        <f t="shared" si="1"/>
        <v>445.04977106753751</v>
      </c>
    </row>
    <row r="125" spans="1:9" ht="15.75" x14ac:dyDescent="0.25">
      <c r="A125" s="66">
        <v>25</v>
      </c>
      <c r="B125" s="79" t="s">
        <v>177</v>
      </c>
      <c r="C125" s="36">
        <v>2020</v>
      </c>
      <c r="D125" s="32">
        <v>580854940000</v>
      </c>
      <c r="E125" s="49">
        <v>9525000000</v>
      </c>
      <c r="F125" s="33">
        <f t="shared" si="1"/>
        <v>60.982145931758531</v>
      </c>
    </row>
    <row r="126" spans="1:9" ht="15.75" x14ac:dyDescent="0.25">
      <c r="A126" s="77"/>
      <c r="B126" s="80"/>
      <c r="C126" s="36">
        <v>2021</v>
      </c>
      <c r="D126" s="32">
        <v>1526870874000</v>
      </c>
      <c r="E126" s="49">
        <v>9525000000</v>
      </c>
      <c r="F126" s="33">
        <f t="shared" si="1"/>
        <v>160.30140409448819</v>
      </c>
    </row>
    <row r="127" spans="1:9" ht="15.75" x14ac:dyDescent="0.25">
      <c r="A127" s="77"/>
      <c r="B127" s="80"/>
      <c r="C127" s="36">
        <v>2022</v>
      </c>
      <c r="D127" s="32">
        <v>1848118978000</v>
      </c>
      <c r="E127" s="49">
        <v>9525000000</v>
      </c>
      <c r="F127" s="33">
        <f t="shared" si="1"/>
        <v>194.02823916010499</v>
      </c>
    </row>
    <row r="128" spans="1:9" ht="15.75" x14ac:dyDescent="0.25">
      <c r="A128" s="77"/>
      <c r="B128" s="80"/>
      <c r="C128" s="36">
        <v>2023</v>
      </c>
      <c r="D128" s="32">
        <v>518314064000</v>
      </c>
      <c r="E128" s="49">
        <v>9525000000</v>
      </c>
      <c r="F128" s="33">
        <f t="shared" si="1"/>
        <v>54.416174698162727</v>
      </c>
    </row>
    <row r="129" spans="1:6" ht="15.75" x14ac:dyDescent="0.25">
      <c r="A129" s="77"/>
      <c r="B129" s="80"/>
      <c r="C129" s="34">
        <v>2024</v>
      </c>
      <c r="D129" s="32">
        <v>844691385000</v>
      </c>
      <c r="E129" s="49">
        <v>9525000000</v>
      </c>
      <c r="F129" s="33">
        <f t="shared" si="1"/>
        <v>88.681510236220475</v>
      </c>
    </row>
    <row r="130" spans="1:6" ht="15.75" x14ac:dyDescent="0.25">
      <c r="A130" s="66">
        <v>26</v>
      </c>
      <c r="B130" s="68" t="s">
        <v>178</v>
      </c>
      <c r="C130" s="36">
        <v>2020</v>
      </c>
      <c r="D130" s="32">
        <v>628628879549</v>
      </c>
      <c r="E130" s="49">
        <v>1310000000</v>
      </c>
      <c r="F130" s="33">
        <f t="shared" si="1"/>
        <v>479.86937370152674</v>
      </c>
    </row>
    <row r="131" spans="1:6" ht="15.75" x14ac:dyDescent="0.25">
      <c r="A131" s="77"/>
      <c r="B131" s="77"/>
      <c r="C131" s="36">
        <v>2021</v>
      </c>
      <c r="D131" s="32">
        <v>617573766863</v>
      </c>
      <c r="E131" s="49">
        <v>1310000000</v>
      </c>
      <c r="F131" s="33">
        <f t="shared" si="1"/>
        <v>471.43035638396947</v>
      </c>
    </row>
    <row r="132" spans="1:6" ht="15.75" x14ac:dyDescent="0.25">
      <c r="A132" s="77"/>
      <c r="B132" s="77"/>
      <c r="C132" s="36">
        <v>2022</v>
      </c>
      <c r="D132" s="32">
        <v>624524005786</v>
      </c>
      <c r="E132" s="49">
        <v>1310000000</v>
      </c>
      <c r="F132" s="33">
        <f t="shared" si="1"/>
        <v>476.73588227938933</v>
      </c>
    </row>
    <row r="133" spans="1:6" ht="15.75" x14ac:dyDescent="0.25">
      <c r="A133" s="77"/>
      <c r="B133" s="77"/>
      <c r="C133" s="36">
        <v>2023</v>
      </c>
      <c r="D133" s="32">
        <v>917794022711</v>
      </c>
      <c r="E133" s="49">
        <v>1310000000</v>
      </c>
      <c r="F133" s="33">
        <f t="shared" si="1"/>
        <v>700.60612420687028</v>
      </c>
    </row>
    <row r="134" spans="1:6" ht="15.75" x14ac:dyDescent="0.25">
      <c r="A134" s="77"/>
      <c r="B134" s="77"/>
      <c r="C134" s="34">
        <v>2024</v>
      </c>
      <c r="D134" s="32">
        <v>1314430773948</v>
      </c>
      <c r="E134" s="49">
        <v>1310000000</v>
      </c>
      <c r="F134" s="33">
        <f t="shared" ref="F134:F197" si="2">D134/E134</f>
        <v>1003.382270189313</v>
      </c>
    </row>
    <row r="135" spans="1:6" ht="15.75" x14ac:dyDescent="0.25">
      <c r="A135" s="66">
        <v>27</v>
      </c>
      <c r="B135" s="68" t="s">
        <v>179</v>
      </c>
      <c r="C135" s="36">
        <v>2020</v>
      </c>
      <c r="D135" s="32">
        <v>680730000000</v>
      </c>
      <c r="E135" s="49">
        <v>5342098939</v>
      </c>
      <c r="F135" s="33">
        <f t="shared" si="2"/>
        <v>127.42744149314228</v>
      </c>
    </row>
    <row r="136" spans="1:6" ht="15.75" x14ac:dyDescent="0.25">
      <c r="A136" s="77"/>
      <c r="B136" s="77"/>
      <c r="C136" s="36">
        <v>2021</v>
      </c>
      <c r="D136" s="32">
        <v>791916000000</v>
      </c>
      <c r="E136" s="49">
        <v>5342098939</v>
      </c>
      <c r="F136" s="33">
        <f t="shared" si="2"/>
        <v>148.2406089895895</v>
      </c>
    </row>
    <row r="137" spans="1:6" ht="15.75" x14ac:dyDescent="0.25">
      <c r="A137" s="77"/>
      <c r="B137" s="77"/>
      <c r="C137" s="36">
        <v>2022</v>
      </c>
      <c r="D137" s="32">
        <v>801440000000</v>
      </c>
      <c r="E137" s="49">
        <v>5342098939</v>
      </c>
      <c r="F137" s="33">
        <f t="shared" si="2"/>
        <v>150.02342883413976</v>
      </c>
    </row>
    <row r="138" spans="1:6" ht="15.75" x14ac:dyDescent="0.25">
      <c r="A138" s="77"/>
      <c r="B138" s="77"/>
      <c r="C138" s="36">
        <v>2023</v>
      </c>
      <c r="D138" s="32">
        <v>612218000000</v>
      </c>
      <c r="E138" s="52">
        <v>6025373372</v>
      </c>
      <c r="F138" s="33">
        <f t="shared" si="2"/>
        <v>101.60664944764854</v>
      </c>
    </row>
    <row r="139" spans="1:6" ht="15.75" x14ac:dyDescent="0.25">
      <c r="A139" s="77"/>
      <c r="B139" s="77"/>
      <c r="C139" s="34">
        <v>2024</v>
      </c>
      <c r="D139" s="32">
        <v>701020000000</v>
      </c>
      <c r="E139" s="52">
        <v>6025373372</v>
      </c>
      <c r="F139" s="33">
        <f t="shared" si="2"/>
        <v>116.34465728840148</v>
      </c>
    </row>
    <row r="140" spans="1:6" ht="15.75" x14ac:dyDescent="0.25">
      <c r="A140" s="66">
        <v>28</v>
      </c>
      <c r="B140" s="68" t="s">
        <v>180</v>
      </c>
      <c r="C140" s="36">
        <v>2020</v>
      </c>
      <c r="D140" s="32">
        <v>478561152411</v>
      </c>
      <c r="E140" s="49">
        <v>918492750</v>
      </c>
      <c r="F140" s="33">
        <f t="shared" si="2"/>
        <v>521.02877503496893</v>
      </c>
    </row>
    <row r="141" spans="1:6" ht="15.75" x14ac:dyDescent="0.25">
      <c r="A141" s="77"/>
      <c r="B141" s="77"/>
      <c r="C141" s="36">
        <v>2021</v>
      </c>
      <c r="D141" s="32">
        <v>481109483989</v>
      </c>
      <c r="E141" s="49">
        <v>918492750</v>
      </c>
      <c r="F141" s="33">
        <f t="shared" si="2"/>
        <v>523.80324612143102</v>
      </c>
    </row>
    <row r="142" spans="1:6" ht="15.75" x14ac:dyDescent="0.25">
      <c r="A142" s="77"/>
      <c r="B142" s="77"/>
      <c r="C142" s="36">
        <v>2022</v>
      </c>
      <c r="D142" s="32">
        <v>478266312889</v>
      </c>
      <c r="E142" s="49">
        <v>918492750</v>
      </c>
      <c r="F142" s="33">
        <f t="shared" si="2"/>
        <v>520.70777138850576</v>
      </c>
    </row>
    <row r="143" spans="1:6" ht="15.75" x14ac:dyDescent="0.25">
      <c r="A143" s="77"/>
      <c r="B143" s="77"/>
      <c r="C143" s="36">
        <v>2023</v>
      </c>
      <c r="D143" s="32">
        <v>441099000000</v>
      </c>
      <c r="E143" s="49">
        <v>918492750</v>
      </c>
      <c r="F143" s="33">
        <f t="shared" si="2"/>
        <v>480.24222292445967</v>
      </c>
    </row>
    <row r="144" spans="1:6" ht="15.75" x14ac:dyDescent="0.25">
      <c r="A144" s="77"/>
      <c r="B144" s="77"/>
      <c r="C144" s="34">
        <v>2024</v>
      </c>
      <c r="D144" s="32">
        <v>402417000000</v>
      </c>
      <c r="E144" s="49">
        <v>918492750</v>
      </c>
      <c r="F144" s="33">
        <f t="shared" si="2"/>
        <v>438.12757367981402</v>
      </c>
    </row>
    <row r="145" spans="1:6" ht="15.75" x14ac:dyDescent="0.25">
      <c r="A145" s="66">
        <v>29</v>
      </c>
      <c r="B145" s="68" t="s">
        <v>181</v>
      </c>
      <c r="C145" s="36">
        <v>2020</v>
      </c>
      <c r="D145" s="32">
        <v>1109666000000</v>
      </c>
      <c r="E145" s="49">
        <v>10398175200</v>
      </c>
      <c r="F145" s="33">
        <f t="shared" si="2"/>
        <v>106.71737864159088</v>
      </c>
    </row>
    <row r="146" spans="1:6" ht="15.75" x14ac:dyDescent="0.25">
      <c r="A146" s="77"/>
      <c r="B146" s="77"/>
      <c r="C146" s="36">
        <v>2021</v>
      </c>
      <c r="D146" s="32">
        <v>1276793000000</v>
      </c>
      <c r="E146" s="49">
        <v>10398175200</v>
      </c>
      <c r="F146" s="33">
        <f t="shared" si="2"/>
        <v>122.79010263262346</v>
      </c>
    </row>
    <row r="147" spans="1:6" ht="15.75" x14ac:dyDescent="0.25">
      <c r="A147" s="77"/>
      <c r="B147" s="77"/>
      <c r="C147" s="36">
        <v>2022</v>
      </c>
      <c r="D147" s="32">
        <v>965486000000</v>
      </c>
      <c r="E147" s="49">
        <v>10398175200</v>
      </c>
      <c r="F147" s="33">
        <f t="shared" si="2"/>
        <v>92.851484171953558</v>
      </c>
    </row>
    <row r="148" spans="1:6" ht="15.75" x14ac:dyDescent="0.25">
      <c r="A148" s="77"/>
      <c r="B148" s="77"/>
      <c r="C148" s="36">
        <v>2023</v>
      </c>
      <c r="D148" s="32">
        <v>1186161000000</v>
      </c>
      <c r="E148" s="49">
        <v>10398175200</v>
      </c>
      <c r="F148" s="33">
        <f t="shared" si="2"/>
        <v>114.0739578998438</v>
      </c>
    </row>
    <row r="149" spans="1:6" ht="15.75" x14ac:dyDescent="0.25">
      <c r="A149" s="77"/>
      <c r="B149" s="77"/>
      <c r="C149" s="34">
        <v>2024</v>
      </c>
      <c r="D149" s="32">
        <v>1153916000000</v>
      </c>
      <c r="E149" s="49">
        <v>10398175200</v>
      </c>
      <c r="F149" s="33">
        <f t="shared" si="2"/>
        <v>110.97293302001682</v>
      </c>
    </row>
    <row r="150" spans="1:6" ht="15.75" x14ac:dyDescent="0.25">
      <c r="A150" s="66">
        <v>30</v>
      </c>
      <c r="B150" s="68" t="s">
        <v>182</v>
      </c>
      <c r="C150" s="36">
        <v>2020</v>
      </c>
      <c r="D150" s="32">
        <v>7163536000000</v>
      </c>
      <c r="E150" s="49">
        <v>38150000000</v>
      </c>
      <c r="F150" s="33">
        <f t="shared" si="2"/>
        <v>187.77289646133684</v>
      </c>
    </row>
    <row r="151" spans="1:6" ht="15.75" x14ac:dyDescent="0.25">
      <c r="A151" s="77"/>
      <c r="B151" s="77"/>
      <c r="C151" s="36">
        <v>2021</v>
      </c>
      <c r="D151" s="32">
        <v>5758148000000</v>
      </c>
      <c r="E151" s="49">
        <v>38150000000</v>
      </c>
      <c r="F151" s="33">
        <f t="shared" si="2"/>
        <v>150.93441677588467</v>
      </c>
    </row>
    <row r="152" spans="1:6" ht="15.75" x14ac:dyDescent="0.25">
      <c r="A152" s="77"/>
      <c r="B152" s="77"/>
      <c r="C152" s="36">
        <v>2022</v>
      </c>
      <c r="D152" s="32">
        <v>5364761000000</v>
      </c>
      <c r="E152" s="49">
        <v>38150000000</v>
      </c>
      <c r="F152" s="33">
        <f t="shared" si="2"/>
        <v>140.62283093053736</v>
      </c>
    </row>
    <row r="153" spans="1:6" ht="15.75" x14ac:dyDescent="0.25">
      <c r="A153" s="77"/>
      <c r="B153" s="77"/>
      <c r="C153" s="36">
        <v>2023</v>
      </c>
      <c r="D153" s="32">
        <v>4800940000000</v>
      </c>
      <c r="E153" s="49">
        <v>38150000000</v>
      </c>
      <c r="F153" s="33">
        <f t="shared" si="2"/>
        <v>125.8437745740498</v>
      </c>
    </row>
    <row r="154" spans="1:6" ht="15.75" x14ac:dyDescent="0.25">
      <c r="A154" s="77"/>
      <c r="B154" s="77"/>
      <c r="C154" s="34">
        <v>2024</v>
      </c>
      <c r="D154" s="32">
        <v>3368693000000</v>
      </c>
      <c r="E154" s="49">
        <v>38150000000</v>
      </c>
      <c r="F154" s="33">
        <f t="shared" si="2"/>
        <v>88.30125819134993</v>
      </c>
    </row>
    <row r="155" spans="1:6" ht="15.75" x14ac:dyDescent="0.25">
      <c r="A155" s="66">
        <v>31</v>
      </c>
      <c r="B155" s="68" t="s">
        <v>183</v>
      </c>
      <c r="C155" s="36">
        <v>2020</v>
      </c>
      <c r="D155" s="32">
        <v>172506562986</v>
      </c>
      <c r="E155" s="49">
        <v>2099873760</v>
      </c>
      <c r="F155" s="33">
        <f t="shared" si="2"/>
        <v>82.150920818211475</v>
      </c>
    </row>
    <row r="156" spans="1:6" ht="15.75" x14ac:dyDescent="0.25">
      <c r="A156" s="77"/>
      <c r="B156" s="77"/>
      <c r="C156" s="36">
        <v>2021</v>
      </c>
      <c r="D156" s="32">
        <v>176877010231</v>
      </c>
      <c r="E156" s="49">
        <v>2099873760</v>
      </c>
      <c r="F156" s="33">
        <f t="shared" si="2"/>
        <v>84.232211288263343</v>
      </c>
    </row>
    <row r="157" spans="1:6" ht="15.75" x14ac:dyDescent="0.25">
      <c r="A157" s="77"/>
      <c r="B157" s="77"/>
      <c r="C157" s="36">
        <v>2022</v>
      </c>
      <c r="D157" s="32">
        <v>249644129079</v>
      </c>
      <c r="E157" s="49">
        <v>2099873760</v>
      </c>
      <c r="F157" s="33">
        <f t="shared" si="2"/>
        <v>118.88530340938209</v>
      </c>
    </row>
    <row r="158" spans="1:6" ht="15.75" x14ac:dyDescent="0.25">
      <c r="A158" s="77"/>
      <c r="B158" s="77"/>
      <c r="C158" s="36">
        <v>2023</v>
      </c>
      <c r="D158" s="32">
        <v>494729174306</v>
      </c>
      <c r="E158" s="49">
        <v>2099873760</v>
      </c>
      <c r="F158" s="33">
        <f t="shared" si="2"/>
        <v>235.59948399279011</v>
      </c>
    </row>
    <row r="159" spans="1:6" ht="15.75" x14ac:dyDescent="0.25">
      <c r="A159" s="77"/>
      <c r="B159" s="77"/>
      <c r="C159" s="34">
        <v>2024</v>
      </c>
      <c r="D159" s="35">
        <v>298713465870</v>
      </c>
      <c r="E159" s="49">
        <v>2099873760</v>
      </c>
      <c r="F159" s="33">
        <f t="shared" si="2"/>
        <v>142.25305899817519</v>
      </c>
    </row>
    <row r="160" spans="1:6" ht="15.75" x14ac:dyDescent="0.25">
      <c r="A160" s="66">
        <v>32</v>
      </c>
      <c r="B160" s="68" t="s">
        <v>184</v>
      </c>
      <c r="C160" s="36">
        <v>2020</v>
      </c>
      <c r="D160" s="32">
        <v>132772234495</v>
      </c>
      <c r="E160" s="49">
        <v>12000000000</v>
      </c>
      <c r="F160" s="33">
        <f t="shared" si="2"/>
        <v>11.064352874583333</v>
      </c>
    </row>
    <row r="161" spans="1:9" ht="15.75" x14ac:dyDescent="0.25">
      <c r="A161" s="77"/>
      <c r="B161" s="77"/>
      <c r="C161" s="36">
        <v>2021</v>
      </c>
      <c r="D161" s="32">
        <v>180711667020</v>
      </c>
      <c r="E161" s="49">
        <v>12000000000</v>
      </c>
      <c r="F161" s="33">
        <f t="shared" si="2"/>
        <v>15.059305585000001</v>
      </c>
    </row>
    <row r="162" spans="1:9" ht="15.75" x14ac:dyDescent="0.25">
      <c r="A162" s="77"/>
      <c r="B162" s="77"/>
      <c r="C162" s="36">
        <v>2022</v>
      </c>
      <c r="D162" s="32">
        <v>192484018135</v>
      </c>
      <c r="E162" s="49">
        <v>12000000000</v>
      </c>
      <c r="F162" s="33">
        <f t="shared" si="2"/>
        <v>16.040334844583334</v>
      </c>
      <c r="G162" s="24"/>
    </row>
    <row r="163" spans="1:9" ht="15.75" x14ac:dyDescent="0.25">
      <c r="A163" s="77"/>
      <c r="B163" s="77"/>
      <c r="C163" s="36">
        <v>2023</v>
      </c>
      <c r="D163" s="32">
        <v>305879961825</v>
      </c>
      <c r="E163" s="49">
        <v>12000000000</v>
      </c>
      <c r="F163" s="33">
        <f t="shared" si="2"/>
        <v>25.489996818750001</v>
      </c>
      <c r="H163" s="24"/>
    </row>
    <row r="164" spans="1:9" ht="15.75" x14ac:dyDescent="0.25">
      <c r="A164" s="77"/>
      <c r="B164" s="77"/>
      <c r="C164" s="34">
        <v>2024</v>
      </c>
      <c r="D164" s="32">
        <v>474019249853</v>
      </c>
      <c r="E164" s="49">
        <v>12000000000</v>
      </c>
      <c r="F164" s="33">
        <f t="shared" si="2"/>
        <v>39.501604154416668</v>
      </c>
    </row>
    <row r="165" spans="1:9" ht="15.75" x14ac:dyDescent="0.25">
      <c r="A165" s="66">
        <v>33</v>
      </c>
      <c r="B165" s="68" t="s">
        <v>185</v>
      </c>
      <c r="C165" s="36">
        <v>2020</v>
      </c>
      <c r="D165" s="32">
        <v>44045828312</v>
      </c>
      <c r="E165" s="49">
        <v>5885000000</v>
      </c>
      <c r="F165" s="33">
        <f t="shared" si="2"/>
        <v>7.484422822769754</v>
      </c>
    </row>
    <row r="166" spans="1:9" ht="15.75" x14ac:dyDescent="0.25">
      <c r="A166" s="77"/>
      <c r="B166" s="77"/>
      <c r="C166" s="36">
        <v>2021</v>
      </c>
      <c r="D166" s="32">
        <v>99278807290</v>
      </c>
      <c r="E166" s="49">
        <v>5885000000</v>
      </c>
      <c r="F166" s="33">
        <f t="shared" si="2"/>
        <v>16.869805826677997</v>
      </c>
    </row>
    <row r="167" spans="1:9" ht="15.75" x14ac:dyDescent="0.25">
      <c r="A167" s="77"/>
      <c r="B167" s="77"/>
      <c r="C167" s="36">
        <v>2022</v>
      </c>
      <c r="D167" s="32">
        <v>121257336904</v>
      </c>
      <c r="E167" s="49">
        <v>5885000000</v>
      </c>
      <c r="F167" s="33">
        <f t="shared" si="2"/>
        <v>20.604475259813086</v>
      </c>
    </row>
    <row r="168" spans="1:9" ht="15.75" x14ac:dyDescent="0.25">
      <c r="A168" s="77"/>
      <c r="B168" s="77"/>
      <c r="C168" s="36">
        <v>2023</v>
      </c>
      <c r="D168" s="32">
        <v>127426464539</v>
      </c>
      <c r="E168" s="49">
        <v>5885000000</v>
      </c>
      <c r="F168" s="33">
        <f t="shared" si="2"/>
        <v>21.6527552317757</v>
      </c>
    </row>
    <row r="169" spans="1:9" ht="15.75" x14ac:dyDescent="0.25">
      <c r="A169" s="77"/>
      <c r="B169" s="77"/>
      <c r="C169" s="34">
        <v>2024</v>
      </c>
      <c r="D169" s="32">
        <v>97110136525</v>
      </c>
      <c r="E169" s="49">
        <v>5885000000</v>
      </c>
      <c r="F169" s="33">
        <f t="shared" si="2"/>
        <v>16.501297625318607</v>
      </c>
    </row>
    <row r="170" spans="1:9" ht="15.75" x14ac:dyDescent="0.25">
      <c r="A170" s="66">
        <v>34</v>
      </c>
      <c r="B170" s="69" t="s">
        <v>186</v>
      </c>
      <c r="C170" s="36">
        <v>2020</v>
      </c>
      <c r="D170" s="32">
        <v>245103761907</v>
      </c>
      <c r="E170" s="49">
        <v>7369648898</v>
      </c>
      <c r="F170" s="33">
        <f t="shared" si="2"/>
        <v>33.258539897812106</v>
      </c>
    </row>
    <row r="171" spans="1:9" ht="15.75" x14ac:dyDescent="0.25">
      <c r="A171" s="77"/>
      <c r="B171" s="78"/>
      <c r="C171" s="36">
        <v>2021</v>
      </c>
      <c r="D171" s="32">
        <v>492637672186</v>
      </c>
      <c r="E171" s="49">
        <v>36897901455</v>
      </c>
      <c r="F171" s="33">
        <f t="shared" si="2"/>
        <v>13.351373730205546</v>
      </c>
    </row>
    <row r="172" spans="1:9" ht="15.75" x14ac:dyDescent="0.25">
      <c r="A172" s="77"/>
      <c r="B172" s="78"/>
      <c r="C172" s="36">
        <v>2022</v>
      </c>
      <c r="D172" s="32">
        <v>521714035585</v>
      </c>
      <c r="E172" s="49">
        <v>36897901455</v>
      </c>
      <c r="F172" s="33">
        <f t="shared" si="2"/>
        <v>14.139395873807967</v>
      </c>
    </row>
    <row r="173" spans="1:9" ht="15.75" x14ac:dyDescent="0.25">
      <c r="A173" s="77"/>
      <c r="B173" s="78"/>
      <c r="C173" s="36">
        <v>2023</v>
      </c>
      <c r="D173" s="32">
        <v>601467293291</v>
      </c>
      <c r="E173" s="49">
        <v>36897901455</v>
      </c>
      <c r="F173" s="33">
        <f t="shared" si="2"/>
        <v>16.300853695556057</v>
      </c>
    </row>
    <row r="174" spans="1:9" ht="15.75" x14ac:dyDescent="0.25">
      <c r="A174" s="77"/>
      <c r="B174" s="78"/>
      <c r="C174" s="34">
        <v>2024</v>
      </c>
      <c r="D174" s="32">
        <v>687194544484</v>
      </c>
      <c r="E174" s="49">
        <v>36897901455</v>
      </c>
      <c r="F174" s="33">
        <f t="shared" si="2"/>
        <v>18.624217567551636</v>
      </c>
      <c r="I174" s="14"/>
    </row>
    <row r="175" spans="1:9" ht="15.75" x14ac:dyDescent="0.25">
      <c r="A175" s="66">
        <v>35</v>
      </c>
      <c r="B175" s="68" t="s">
        <v>189</v>
      </c>
      <c r="C175" s="36">
        <v>2020</v>
      </c>
      <c r="D175" s="32">
        <v>6120040212</v>
      </c>
      <c r="E175" s="51">
        <v>940720000</v>
      </c>
      <c r="F175" s="33">
        <f t="shared" si="2"/>
        <v>6.5056979887745561</v>
      </c>
      <c r="G175" s="14"/>
      <c r="H175" s="30"/>
    </row>
    <row r="176" spans="1:9" ht="15.75" x14ac:dyDescent="0.25">
      <c r="A176" s="77"/>
      <c r="B176" s="77"/>
      <c r="C176" s="36">
        <v>2021</v>
      </c>
      <c r="D176" s="32">
        <v>18368616642</v>
      </c>
      <c r="E176" s="51">
        <v>940720000</v>
      </c>
      <c r="F176" s="33">
        <f t="shared" si="2"/>
        <v>19.526125352921166</v>
      </c>
      <c r="G176" s="14"/>
      <c r="H176" s="30"/>
    </row>
    <row r="177" spans="1:8" ht="15.75" x14ac:dyDescent="0.25">
      <c r="A177" s="77"/>
      <c r="B177" s="77"/>
      <c r="C177" s="36">
        <v>2022</v>
      </c>
      <c r="D177" s="32">
        <v>23952323176</v>
      </c>
      <c r="E177" s="51">
        <v>940720000</v>
      </c>
      <c r="F177" s="33">
        <f t="shared" si="2"/>
        <v>25.461692295263202</v>
      </c>
      <c r="G177" s="14"/>
      <c r="H177" s="30"/>
    </row>
    <row r="178" spans="1:8" ht="15.75" x14ac:dyDescent="0.25">
      <c r="A178" s="77"/>
      <c r="B178" s="77"/>
      <c r="C178" s="36">
        <v>2023</v>
      </c>
      <c r="D178" s="32">
        <v>26963627275</v>
      </c>
      <c r="E178" s="51">
        <v>940720000</v>
      </c>
      <c r="F178" s="33">
        <f t="shared" si="2"/>
        <v>28.662755416064289</v>
      </c>
      <c r="G178" s="14"/>
      <c r="H178" s="30"/>
    </row>
    <row r="179" spans="1:8" ht="15.75" x14ac:dyDescent="0.25">
      <c r="A179" s="77"/>
      <c r="B179" s="77"/>
      <c r="C179" s="34">
        <v>2024</v>
      </c>
      <c r="D179" s="32">
        <v>21241244212</v>
      </c>
      <c r="E179" s="51">
        <v>940720000</v>
      </c>
      <c r="F179" s="33">
        <f t="shared" si="2"/>
        <v>22.579773165235139</v>
      </c>
      <c r="G179" s="14"/>
      <c r="H179" s="30"/>
    </row>
    <row r="180" spans="1:8" ht="15.75" x14ac:dyDescent="0.25">
      <c r="A180" s="66">
        <v>36</v>
      </c>
      <c r="B180" s="68" t="s">
        <v>187</v>
      </c>
      <c r="C180" s="36">
        <v>2020</v>
      </c>
      <c r="D180" s="32">
        <v>121000016429</v>
      </c>
      <c r="E180" s="49">
        <v>1500000000</v>
      </c>
      <c r="F180" s="33">
        <f t="shared" si="2"/>
        <v>80.666677619333328</v>
      </c>
    </row>
    <row r="181" spans="1:8" ht="15.75" x14ac:dyDescent="0.25">
      <c r="A181" s="77"/>
      <c r="B181" s="77"/>
      <c r="C181" s="36">
        <v>2021</v>
      </c>
      <c r="D181" s="32">
        <v>144700268968</v>
      </c>
      <c r="E181" s="49">
        <v>1500000000</v>
      </c>
      <c r="F181" s="33">
        <f t="shared" si="2"/>
        <v>96.466845978666669</v>
      </c>
    </row>
    <row r="182" spans="1:8" ht="15.75" x14ac:dyDescent="0.25">
      <c r="A182" s="77"/>
      <c r="B182" s="77"/>
      <c r="C182" s="36">
        <v>2022</v>
      </c>
      <c r="D182" s="32">
        <v>117370750383</v>
      </c>
      <c r="E182" s="49">
        <v>1500000000</v>
      </c>
      <c r="F182" s="33">
        <f t="shared" si="2"/>
        <v>78.247166922000005</v>
      </c>
    </row>
    <row r="183" spans="1:8" ht="15.75" x14ac:dyDescent="0.25">
      <c r="A183" s="77"/>
      <c r="B183" s="77"/>
      <c r="C183" s="36">
        <v>2023</v>
      </c>
      <c r="D183" s="32">
        <v>80342415257</v>
      </c>
      <c r="E183" s="49">
        <v>1500000000</v>
      </c>
      <c r="F183" s="33">
        <f t="shared" si="2"/>
        <v>53.561610171333335</v>
      </c>
    </row>
    <row r="184" spans="1:8" ht="15.75" x14ac:dyDescent="0.25">
      <c r="A184" s="77"/>
      <c r="B184" s="77"/>
      <c r="C184" s="34">
        <v>2024</v>
      </c>
      <c r="D184" s="32">
        <v>146880537264</v>
      </c>
      <c r="E184" s="49">
        <v>1500000000</v>
      </c>
      <c r="F184" s="33">
        <f t="shared" si="2"/>
        <v>97.920358175999993</v>
      </c>
    </row>
    <row r="185" spans="1:8" ht="15.75" x14ac:dyDescent="0.25">
      <c r="A185" s="66">
        <v>37</v>
      </c>
      <c r="B185" s="68" t="s">
        <v>188</v>
      </c>
      <c r="C185" s="36">
        <v>2020</v>
      </c>
      <c r="D185" s="32">
        <v>311682000000</v>
      </c>
      <c r="E185" s="49">
        <v>4143312300</v>
      </c>
      <c r="F185" s="33">
        <f t="shared" si="2"/>
        <v>75.225321538036127</v>
      </c>
    </row>
    <row r="186" spans="1:8" ht="15.75" x14ac:dyDescent="0.25">
      <c r="A186" s="77"/>
      <c r="B186" s="77"/>
      <c r="C186" s="36">
        <v>2021</v>
      </c>
      <c r="D186" s="32">
        <v>480060000000</v>
      </c>
      <c r="E186" s="49">
        <v>4143312300</v>
      </c>
      <c r="F186" s="33">
        <f t="shared" si="2"/>
        <v>115.86382228537299</v>
      </c>
    </row>
    <row r="187" spans="1:8" ht="15.75" x14ac:dyDescent="0.25">
      <c r="A187" s="77"/>
      <c r="B187" s="77"/>
      <c r="C187" s="36">
        <v>2022</v>
      </c>
      <c r="D187" s="32">
        <v>313648000000</v>
      </c>
      <c r="E187" s="49">
        <v>4143312300</v>
      </c>
      <c r="F187" s="33">
        <f t="shared" si="2"/>
        <v>75.699821131030845</v>
      </c>
    </row>
    <row r="188" spans="1:8" ht="15.75" x14ac:dyDescent="0.25">
      <c r="A188" s="77"/>
      <c r="B188" s="77"/>
      <c r="C188" s="36">
        <v>2023</v>
      </c>
      <c r="D188" s="32">
        <v>434532000000</v>
      </c>
      <c r="E188" s="49">
        <v>4143312300</v>
      </c>
      <c r="F188" s="33">
        <f t="shared" si="2"/>
        <v>104.87551228035599</v>
      </c>
    </row>
    <row r="189" spans="1:8" ht="15.75" x14ac:dyDescent="0.25">
      <c r="A189" s="77"/>
      <c r="B189" s="77"/>
      <c r="C189" s="34">
        <v>2024</v>
      </c>
      <c r="D189" s="32">
        <v>350441000000</v>
      </c>
      <c r="E189" s="49">
        <v>4143312300</v>
      </c>
      <c r="F189" s="33">
        <f t="shared" si="2"/>
        <v>84.579914480499099</v>
      </c>
    </row>
    <row r="190" spans="1:8" ht="15.75" x14ac:dyDescent="0.25">
      <c r="A190" s="66">
        <v>38</v>
      </c>
      <c r="B190" s="68" t="s">
        <v>190</v>
      </c>
      <c r="C190" s="36">
        <v>2020</v>
      </c>
      <c r="D190" s="32">
        <v>72366649338</v>
      </c>
      <c r="E190" s="51">
        <v>2050000000</v>
      </c>
      <c r="F190" s="33">
        <f t="shared" si="2"/>
        <v>35.30080455512195</v>
      </c>
    </row>
    <row r="191" spans="1:8" ht="15.75" x14ac:dyDescent="0.25">
      <c r="A191" s="77"/>
      <c r="B191" s="77"/>
      <c r="C191" s="36">
        <v>2021</v>
      </c>
      <c r="D191" s="32">
        <v>259650288797</v>
      </c>
      <c r="E191" s="51">
        <v>2050000000</v>
      </c>
      <c r="F191" s="33">
        <f t="shared" si="2"/>
        <v>126.65867746195121</v>
      </c>
    </row>
    <row r="192" spans="1:8" ht="15.75" x14ac:dyDescent="0.25">
      <c r="A192" s="77"/>
      <c r="B192" s="77"/>
      <c r="C192" s="36">
        <v>2022</v>
      </c>
      <c r="D192" s="32">
        <v>252406668731</v>
      </c>
      <c r="E192" s="51">
        <v>2050000000</v>
      </c>
      <c r="F192" s="33">
        <f t="shared" si="2"/>
        <v>123.12520425902439</v>
      </c>
    </row>
    <row r="193" spans="1:6" ht="15.75" x14ac:dyDescent="0.25">
      <c r="A193" s="77"/>
      <c r="B193" s="77"/>
      <c r="C193" s="36">
        <v>2023</v>
      </c>
      <c r="D193" s="32">
        <v>146138989067</v>
      </c>
      <c r="E193" s="51">
        <v>2050000000</v>
      </c>
      <c r="F193" s="33">
        <f t="shared" si="2"/>
        <v>71.287311740000007</v>
      </c>
    </row>
    <row r="194" spans="1:6" ht="15.75" x14ac:dyDescent="0.25">
      <c r="A194" s="77"/>
      <c r="B194" s="77"/>
      <c r="C194" s="34">
        <v>2024</v>
      </c>
      <c r="D194" s="32">
        <v>214854888133</v>
      </c>
      <c r="E194" s="51">
        <v>2050000000</v>
      </c>
      <c r="F194" s="33">
        <f t="shared" si="2"/>
        <v>104.80726250390244</v>
      </c>
    </row>
    <row r="195" spans="1:6" ht="15.75" x14ac:dyDescent="0.25">
      <c r="A195" s="66">
        <v>39</v>
      </c>
      <c r="B195" s="68" t="s">
        <v>191</v>
      </c>
      <c r="C195" s="36">
        <v>2020</v>
      </c>
      <c r="D195" s="32">
        <v>205589000000</v>
      </c>
      <c r="E195" s="51">
        <v>9468359000</v>
      </c>
      <c r="F195" s="33">
        <f t="shared" si="2"/>
        <v>21.713266258704387</v>
      </c>
    </row>
    <row r="196" spans="1:6" ht="15.75" x14ac:dyDescent="0.25">
      <c r="A196" s="77"/>
      <c r="B196" s="77"/>
      <c r="C196" s="36">
        <v>2021</v>
      </c>
      <c r="D196" s="32">
        <v>351470000000</v>
      </c>
      <c r="E196" s="51">
        <v>9468359000</v>
      </c>
      <c r="F196" s="33">
        <f t="shared" si="2"/>
        <v>37.120476737310021</v>
      </c>
    </row>
    <row r="197" spans="1:6" ht="15.75" x14ac:dyDescent="0.25">
      <c r="A197" s="77"/>
      <c r="B197" s="77"/>
      <c r="C197" s="36">
        <v>2022</v>
      </c>
      <c r="D197" s="32">
        <v>382105000000</v>
      </c>
      <c r="E197" s="51">
        <v>9468359000</v>
      </c>
      <c r="F197" s="33">
        <f t="shared" si="2"/>
        <v>40.355989881667988</v>
      </c>
    </row>
    <row r="198" spans="1:6" ht="15.75" x14ac:dyDescent="0.25">
      <c r="A198" s="77"/>
      <c r="B198" s="77"/>
      <c r="C198" s="36">
        <v>2023</v>
      </c>
      <c r="D198" s="32">
        <v>319078000000</v>
      </c>
      <c r="E198" s="51">
        <v>9468359000</v>
      </c>
      <c r="F198" s="33">
        <f t="shared" ref="F198:F214" si="3">D198/E198</f>
        <v>33.699398174488316</v>
      </c>
    </row>
    <row r="199" spans="1:6" ht="15.75" x14ac:dyDescent="0.25">
      <c r="A199" s="77"/>
      <c r="B199" s="77"/>
      <c r="C199" s="34">
        <v>2024</v>
      </c>
      <c r="D199" s="32">
        <v>363732000000</v>
      </c>
      <c r="E199" s="51">
        <v>9468359000</v>
      </c>
      <c r="F199" s="33">
        <f t="shared" si="3"/>
        <v>38.415526914431531</v>
      </c>
    </row>
    <row r="200" spans="1:6" ht="15.75" x14ac:dyDescent="0.25">
      <c r="A200" s="66">
        <v>40</v>
      </c>
      <c r="B200" s="68" t="s">
        <v>192</v>
      </c>
      <c r="C200" s="36">
        <v>2020</v>
      </c>
      <c r="D200" s="32">
        <v>81273727254</v>
      </c>
      <c r="E200" s="51">
        <v>781250000</v>
      </c>
      <c r="F200" s="33">
        <f t="shared" si="3"/>
        <v>104.03037088512001</v>
      </c>
    </row>
    <row r="201" spans="1:6" ht="15.75" x14ac:dyDescent="0.25">
      <c r="A201" s="77"/>
      <c r="B201" s="77"/>
      <c r="C201" s="36">
        <v>2021</v>
      </c>
      <c r="D201" s="32">
        <v>188054274782</v>
      </c>
      <c r="E201" s="51">
        <v>781250000</v>
      </c>
      <c r="F201" s="33">
        <f t="shared" si="3"/>
        <v>240.70947172096001</v>
      </c>
    </row>
    <row r="202" spans="1:6" ht="15.75" x14ac:dyDescent="0.25">
      <c r="A202" s="77"/>
      <c r="B202" s="77"/>
      <c r="C202" s="36">
        <v>2022</v>
      </c>
      <c r="D202" s="32">
        <v>173391571265</v>
      </c>
      <c r="E202" s="51">
        <v>781250000</v>
      </c>
      <c r="F202" s="33">
        <f t="shared" si="3"/>
        <v>221.9412112192</v>
      </c>
    </row>
    <row r="203" spans="1:6" ht="15.75" x14ac:dyDescent="0.25">
      <c r="A203" s="77"/>
      <c r="B203" s="77"/>
      <c r="C203" s="36">
        <v>2023</v>
      </c>
      <c r="D203" s="32">
        <v>191664263794</v>
      </c>
      <c r="E203" s="51">
        <v>781250000</v>
      </c>
      <c r="F203" s="33">
        <f t="shared" si="3"/>
        <v>245.33025765631999</v>
      </c>
    </row>
    <row r="204" spans="1:6" ht="15.75" x14ac:dyDescent="0.25">
      <c r="A204" s="77"/>
      <c r="B204" s="77"/>
      <c r="C204" s="34">
        <v>2024</v>
      </c>
      <c r="D204" s="32">
        <v>220955227350</v>
      </c>
      <c r="E204" s="51">
        <v>781250000</v>
      </c>
      <c r="F204" s="33">
        <f t="shared" si="3"/>
        <v>282.82269100799999</v>
      </c>
    </row>
    <row r="205" spans="1:6" ht="15.75" x14ac:dyDescent="0.25">
      <c r="A205" s="66">
        <v>41</v>
      </c>
      <c r="B205" s="68" t="s">
        <v>193</v>
      </c>
      <c r="C205" s="36">
        <v>2020</v>
      </c>
      <c r="D205" s="32">
        <v>15746218605</v>
      </c>
      <c r="E205" s="51">
        <v>800000000</v>
      </c>
      <c r="F205" s="33">
        <f t="shared" si="3"/>
        <v>19.682773256250002</v>
      </c>
    </row>
    <row r="206" spans="1:6" ht="15.75" x14ac:dyDescent="0.25">
      <c r="A206" s="77"/>
      <c r="B206" s="77"/>
      <c r="C206" s="36">
        <v>2021</v>
      </c>
      <c r="D206" s="32">
        <v>33530231755</v>
      </c>
      <c r="E206" s="51">
        <v>800000000</v>
      </c>
      <c r="F206" s="33">
        <f t="shared" si="3"/>
        <v>41.91278969375</v>
      </c>
    </row>
    <row r="207" spans="1:6" ht="15.75" x14ac:dyDescent="0.25">
      <c r="A207" s="77"/>
      <c r="B207" s="77"/>
      <c r="C207" s="36">
        <v>2022</v>
      </c>
      <c r="D207" s="32">
        <v>47993345719</v>
      </c>
      <c r="E207" s="51">
        <v>800000000</v>
      </c>
      <c r="F207" s="33">
        <f t="shared" si="3"/>
        <v>59.991682148750002</v>
      </c>
    </row>
    <row r="208" spans="1:6" ht="15.75" x14ac:dyDescent="0.25">
      <c r="A208" s="77"/>
      <c r="B208" s="77"/>
      <c r="C208" s="36">
        <v>2023</v>
      </c>
      <c r="D208" s="32">
        <v>51239892562</v>
      </c>
      <c r="E208" s="51">
        <v>800000000</v>
      </c>
      <c r="F208" s="33">
        <f t="shared" si="3"/>
        <v>64.0498657025</v>
      </c>
    </row>
    <row r="209" spans="1:6" ht="15.75" x14ac:dyDescent="0.25">
      <c r="A209" s="77"/>
      <c r="B209" s="77"/>
      <c r="C209" s="34">
        <v>2024</v>
      </c>
      <c r="D209" s="32">
        <v>54881468649</v>
      </c>
      <c r="E209" s="51">
        <v>800000000</v>
      </c>
      <c r="F209" s="33">
        <f t="shared" si="3"/>
        <v>68.601835811249998</v>
      </c>
    </row>
    <row r="210" spans="1:6" ht="15.75" x14ac:dyDescent="0.25">
      <c r="A210" s="66">
        <v>42</v>
      </c>
      <c r="B210" s="68" t="s">
        <v>194</v>
      </c>
      <c r="C210" s="36">
        <v>2020</v>
      </c>
      <c r="D210" s="32">
        <v>148365915585</v>
      </c>
      <c r="E210" s="51">
        <v>6708000000</v>
      </c>
      <c r="F210" s="33">
        <f t="shared" si="3"/>
        <v>22.117757242844366</v>
      </c>
    </row>
    <row r="211" spans="1:6" ht="15.75" x14ac:dyDescent="0.25">
      <c r="A211" s="77"/>
      <c r="B211" s="77"/>
      <c r="C211" s="36">
        <v>2021</v>
      </c>
      <c r="D211" s="32">
        <v>177275878389</v>
      </c>
      <c r="E211" s="51">
        <v>6708000000</v>
      </c>
      <c r="F211" s="33">
        <f t="shared" si="3"/>
        <v>26.427531065742397</v>
      </c>
    </row>
    <row r="212" spans="1:6" ht="15.75" x14ac:dyDescent="0.25">
      <c r="A212" s="77"/>
      <c r="B212" s="77"/>
      <c r="C212" s="36">
        <v>2022</v>
      </c>
      <c r="D212" s="32">
        <v>97639053688</v>
      </c>
      <c r="E212" s="51">
        <v>6708000000</v>
      </c>
      <c r="F212" s="33">
        <f t="shared" si="3"/>
        <v>14.55561325104353</v>
      </c>
    </row>
    <row r="213" spans="1:6" ht="15.75" x14ac:dyDescent="0.25">
      <c r="A213" s="77"/>
      <c r="B213" s="77"/>
      <c r="C213" s="36">
        <v>2023</v>
      </c>
      <c r="D213" s="32">
        <v>178455165962</v>
      </c>
      <c r="E213" s="51">
        <v>6708000000</v>
      </c>
      <c r="F213" s="33">
        <f t="shared" si="3"/>
        <v>26.603334222122839</v>
      </c>
    </row>
    <row r="214" spans="1:6" ht="15.75" x14ac:dyDescent="0.25">
      <c r="A214" s="77"/>
      <c r="B214" s="77"/>
      <c r="C214" s="34">
        <v>2024</v>
      </c>
      <c r="D214" s="32">
        <v>175945630508</v>
      </c>
      <c r="E214" s="51">
        <v>6708000000</v>
      </c>
      <c r="F214" s="33">
        <f t="shared" si="3"/>
        <v>26.229223391174717</v>
      </c>
    </row>
    <row r="215" spans="1:6" x14ac:dyDescent="0.25">
      <c r="A215" s="47"/>
      <c r="B215" s="47"/>
      <c r="C215" s="47"/>
    </row>
  </sheetData>
  <mergeCells count="85">
    <mergeCell ref="B2:D2"/>
    <mergeCell ref="A20:A24"/>
    <mergeCell ref="B20:B24"/>
    <mergeCell ref="A25:A29"/>
    <mergeCell ref="B25:B29"/>
    <mergeCell ref="A15:A19"/>
    <mergeCell ref="B15:B19"/>
    <mergeCell ref="A5:A9"/>
    <mergeCell ref="B5:B9"/>
    <mergeCell ref="A10:A14"/>
    <mergeCell ref="B10:B14"/>
    <mergeCell ref="A30:A34"/>
    <mergeCell ref="B30:B34"/>
    <mergeCell ref="A35:A39"/>
    <mergeCell ref="B35:B39"/>
    <mergeCell ref="A40:A44"/>
    <mergeCell ref="B40:B44"/>
    <mergeCell ref="A45:A49"/>
    <mergeCell ref="B45:B49"/>
    <mergeCell ref="A50:A54"/>
    <mergeCell ref="B50:B54"/>
    <mergeCell ref="A55:A59"/>
    <mergeCell ref="B55:B59"/>
    <mergeCell ref="A60:A64"/>
    <mergeCell ref="B60:B64"/>
    <mergeCell ref="A65:A69"/>
    <mergeCell ref="B65:B69"/>
    <mergeCell ref="A70:A74"/>
    <mergeCell ref="B70:B74"/>
    <mergeCell ref="A75:A79"/>
    <mergeCell ref="B75:B79"/>
    <mergeCell ref="A80:A84"/>
    <mergeCell ref="B80:B84"/>
    <mergeCell ref="A85:A89"/>
    <mergeCell ref="B85:B89"/>
    <mergeCell ref="A90:A94"/>
    <mergeCell ref="B90:B94"/>
    <mergeCell ref="A95:A99"/>
    <mergeCell ref="B95:B99"/>
    <mergeCell ref="A100:A104"/>
    <mergeCell ref="B100:B104"/>
    <mergeCell ref="A105:A109"/>
    <mergeCell ref="B105:B109"/>
    <mergeCell ref="A110:A114"/>
    <mergeCell ref="B110:B114"/>
    <mergeCell ref="A115:A119"/>
    <mergeCell ref="B115:B119"/>
    <mergeCell ref="A120:A124"/>
    <mergeCell ref="B120:B124"/>
    <mergeCell ref="A125:A129"/>
    <mergeCell ref="B125:B129"/>
    <mergeCell ref="A130:A134"/>
    <mergeCell ref="B130:B134"/>
    <mergeCell ref="A135:A139"/>
    <mergeCell ref="B135:B139"/>
    <mergeCell ref="A140:A144"/>
    <mergeCell ref="B140:B144"/>
    <mergeCell ref="A145:A149"/>
    <mergeCell ref="B145:B149"/>
    <mergeCell ref="A150:A154"/>
    <mergeCell ref="B150:B154"/>
    <mergeCell ref="A155:A159"/>
    <mergeCell ref="B155:B159"/>
    <mergeCell ref="A160:A164"/>
    <mergeCell ref="B160:B164"/>
    <mergeCell ref="A165:A169"/>
    <mergeCell ref="B165:B169"/>
    <mergeCell ref="A170:A174"/>
    <mergeCell ref="B170:B174"/>
    <mergeCell ref="A175:A179"/>
    <mergeCell ref="B175:B179"/>
    <mergeCell ref="A180:A184"/>
    <mergeCell ref="B180:B184"/>
    <mergeCell ref="A185:A189"/>
    <mergeCell ref="B185:B189"/>
    <mergeCell ref="A190:A194"/>
    <mergeCell ref="B190:B194"/>
    <mergeCell ref="A210:A214"/>
    <mergeCell ref="B210:B214"/>
    <mergeCell ref="A195:A199"/>
    <mergeCell ref="B195:B199"/>
    <mergeCell ref="A200:A204"/>
    <mergeCell ref="B200:B204"/>
    <mergeCell ref="A205:A209"/>
    <mergeCell ref="B205:B209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 (Harga Saham)</vt:lpstr>
      <vt:lpstr>X1 (ROA)</vt:lpstr>
      <vt:lpstr>X2 (ROE)</vt:lpstr>
      <vt:lpstr>X3 (DER)</vt:lpstr>
      <vt:lpstr>X4 (EPS)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2025-10-20T04:26:09Z</dcterms:created>
  <dcterms:modified xsi:type="dcterms:W3CDTF">2026-04-01T06:09:40Z</dcterms:modified>
</cp:coreProperties>
</file>